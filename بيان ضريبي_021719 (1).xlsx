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C:\Users\PC\Desktop\"/>
    </mc:Choice>
  </mc:AlternateContent>
  <xr:revisionPtr revIDLastSave="0" documentId="13_ncr:1008001_{3369BA09-E58E-0541-AFE6-A71F2B952F39}" xr6:coauthVersionLast="47" xr6:coauthVersionMax="47" xr10:uidLastSave="{00000000-0000-0000-0000-000000000000}"/>
  <bookViews>
    <workbookView xWindow="-120" yWindow="-120" windowWidth="20730" windowHeight="11160" tabRatio="995" firstSheet="1" activeTab="3" xr2:uid="{00000000-000D-0000-FFFF-FFFF00000000}"/>
  </bookViews>
  <sheets>
    <sheet name="معدلات الحسم الديناميكي" sheetId="10" r:id="rId1"/>
    <sheet name="حساب الضريبة" sheetId="2" r:id="rId2"/>
    <sheet name="قائمة التعديل الضريبي" sheetId="1" r:id="rId3"/>
    <sheet name="الصفحة الأولى" sheetId="8" r:id="rId4"/>
    <sheet name="قائمة المركز المالي" sheetId="3" r:id="rId5"/>
    <sheet name="قائمة التشغيل" sheetId="4" r:id="rId6"/>
    <sheet name="قائمة الدخل" sheetId="5" r:id="rId7"/>
    <sheet name="جدول استهلاك الموجودات الثابتة" sheetId="7" r:id="rId8"/>
    <sheet name="ملاحظات لملء البيان الضريبي" sheetId="11" r:id="rId9"/>
    <sheet name="مخصص لاستخدام الإدارة الضريبية" sheetId="12" r:id="rId10"/>
  </sheets>
  <definedNames>
    <definedName name="_xlnm.Print_Area" localSheetId="2">'قائمة التعديل الضريبي'!$A$1:$E$65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7" l="1"/>
  <c r="W33" i="8"/>
  <c r="B17" i="7"/>
  <c r="C17" i="7"/>
  <c r="D17" i="7"/>
  <c r="F17" i="7"/>
  <c r="H8" i="7"/>
  <c r="H9" i="7"/>
  <c r="H10" i="7"/>
  <c r="H11" i="7"/>
  <c r="H12" i="7"/>
  <c r="H13" i="7"/>
  <c r="H14" i="7"/>
  <c r="H15" i="7"/>
  <c r="H16" i="7"/>
  <c r="H7" i="7"/>
  <c r="G7" i="7"/>
  <c r="G8" i="7"/>
  <c r="G9" i="7"/>
  <c r="G10" i="7"/>
  <c r="G11" i="7"/>
  <c r="G12" i="7"/>
  <c r="G13" i="7"/>
  <c r="G14" i="7"/>
  <c r="G15" i="7"/>
  <c r="G16" i="7"/>
  <c r="E7" i="7"/>
  <c r="E8" i="7"/>
  <c r="E9" i="7"/>
  <c r="E10" i="7"/>
  <c r="E11" i="7"/>
  <c r="E12" i="7"/>
  <c r="E13" i="7"/>
  <c r="E14" i="7"/>
  <c r="E15" i="7"/>
  <c r="E16" i="7"/>
  <c r="I14" i="7"/>
  <c r="J14" i="7"/>
  <c r="I10" i="7"/>
  <c r="J10" i="7"/>
  <c r="H17" i="7"/>
  <c r="I7" i="7"/>
  <c r="J7" i="7"/>
  <c r="I13" i="7"/>
  <c r="J13" i="7"/>
  <c r="K13" i="7"/>
  <c r="I9" i="7"/>
  <c r="J9" i="7"/>
  <c r="K9" i="7"/>
  <c r="K14" i="7"/>
  <c r="I16" i="7"/>
  <c r="J16" i="7"/>
  <c r="K16" i="7"/>
  <c r="I12" i="7"/>
  <c r="J12" i="7"/>
  <c r="K12" i="7"/>
  <c r="I8" i="7"/>
  <c r="J8" i="7"/>
  <c r="K8" i="7"/>
  <c r="K10" i="7"/>
  <c r="G17" i="7"/>
  <c r="I15" i="7"/>
  <c r="J15" i="7"/>
  <c r="K15" i="7"/>
  <c r="I11" i="7"/>
  <c r="J11" i="7"/>
  <c r="K11" i="7"/>
  <c r="E17" i="7"/>
  <c r="K7" i="7"/>
  <c r="I17" i="7"/>
  <c r="J17" i="7"/>
  <c r="K1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Esmat</author>
  </authors>
  <commentList>
    <comment ref="J1" authorId="0" shapeId="0" xr:uid="{00000000-0006-0000-0300-000001000000}">
      <text>
        <r>
          <rPr>
            <b/>
            <sz val="14"/>
            <color indexed="81"/>
            <rFont val="Times New Roman"/>
            <family val="1"/>
          </rPr>
          <t xml:space="preserve">اعداد 
 المحاسب القانوني
عصمت الشواف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ِAsfar0003</author>
  </authors>
  <commentList>
    <comment ref="F3" authorId="0" shapeId="0" xr:uid="{00000000-0006-0000-0800-000001000000}">
      <text>
        <r>
          <rPr>
            <b/>
            <sz val="9"/>
            <color indexed="81"/>
            <rFont val="Tahoma"/>
            <family val="2"/>
          </rPr>
          <t>المجمع السابق من السنة الماضية ...
( يدوي )</t>
        </r>
      </text>
    </comment>
  </commentList>
</comments>
</file>

<file path=xl/sharedStrings.xml><?xml version="1.0" encoding="utf-8"?>
<sst xmlns="http://schemas.openxmlformats.org/spreadsheetml/2006/main" count="767" uniqueCount="568">
  <si>
    <t xml:space="preserve">قائمة التعديل الضريبي </t>
  </si>
  <si>
    <t>البند</t>
  </si>
  <si>
    <t>البيــــــــــــان</t>
  </si>
  <si>
    <t>إيضاح</t>
  </si>
  <si>
    <t>المبالغ</t>
  </si>
  <si>
    <t xml:space="preserve">السنة الحالية </t>
  </si>
  <si>
    <t xml:space="preserve">السنة السابقة </t>
  </si>
  <si>
    <t>صافي الربح كما ورد في قائمة الدخل</t>
  </si>
  <si>
    <t>يضاف إليه (النفقات المرفوضة ضريبياً):</t>
  </si>
  <si>
    <t>مؤونات ومخصصات مرفوضة</t>
  </si>
  <si>
    <t>مؤونة الديون المشكوك فيها (3863)</t>
  </si>
  <si>
    <t> مخصص خصم أوراق قبض (3864)</t>
  </si>
  <si>
    <t> مخصص انخفاض قيمة المخزون (3865)</t>
  </si>
  <si>
    <t>مخصص انخفاض قيمة الأصول الثابتة الملموسة (3861)</t>
  </si>
  <si>
    <t>مخصص انخفاض قيمة الأصول غير الملموسة (3862)</t>
  </si>
  <si>
    <t>مخصصات أخرى مرفوضة (3866)</t>
  </si>
  <si>
    <t>اهتلاك المباني والإنشاءات (3811)</t>
  </si>
  <si>
    <t>احتياطيات مرفوضة</t>
  </si>
  <si>
    <t xml:space="preserve">احتياطي التوسع الصناعي غير المستخدم خلال سنتان </t>
  </si>
  <si>
    <t>احتياطيات مرفوضة أخرى</t>
  </si>
  <si>
    <t>نفقات ومبالغ أخرى مرفوضة</t>
  </si>
  <si>
    <t>النفقات الشخصية أو المبالغ التي يحسبها رب العمل وشريكه أجرة له عن إدارة العمل</t>
  </si>
  <si>
    <t>المبالغ التي يحسبها الشركاء في شركة التضامن أو الشركاء المسؤولون بدون حد في شركات التوصية البسيطة أجرة لهم عن إدارة العمل</t>
  </si>
  <si>
    <t>التبرعات والإعانات المرفوضة</t>
  </si>
  <si>
    <t>الضرائب والرسوم المرفوضة</t>
  </si>
  <si>
    <t>غرامات وتعويضات للغير مرفوضة</t>
  </si>
  <si>
    <t>مصاريف سنوات سابقة</t>
  </si>
  <si>
    <t>ينزل منه (المبالغ المقبولة ضريبياً):</t>
  </si>
  <si>
    <t>القيمة التأجيرية للعقارات المملوكة للمكلف والمعدة لممارسة العمل</t>
  </si>
  <si>
    <t xml:space="preserve">ديون معدومة تتوافر فيها شروط الخصم وتم خصمها من المخصص </t>
  </si>
  <si>
    <t>- 3 -</t>
  </si>
  <si>
    <t xml:space="preserve">تابع قائمة التعديل الضريبي </t>
  </si>
  <si>
    <t>المستخدم من المخصصات لمواجهة السبب الذي تم من أجله احتجازها</t>
  </si>
  <si>
    <t>المجمـوع ( 2141+51-52)</t>
  </si>
  <si>
    <t>ينزل منه ( أرباح خاضعة لضرائب نوعية أخرى ) :</t>
  </si>
  <si>
    <t>أرباح بيع عقارات</t>
  </si>
  <si>
    <t> فوائد دائنة</t>
  </si>
  <si>
    <t> أرباح منشآت سياحية</t>
  </si>
  <si>
    <t>أرباح القانون 60</t>
  </si>
  <si>
    <t>المجمـوع ( 53-54)</t>
  </si>
  <si>
    <t>ينزل منه:</t>
  </si>
  <si>
    <t>الخسائر المدورة (2143)</t>
  </si>
  <si>
    <t>المجموع ( 55-56)</t>
  </si>
  <si>
    <t>ينزل منه ( الإعفاءات ):</t>
  </si>
  <si>
    <t>أرباح الصادرات المعفاة</t>
  </si>
  <si>
    <t>أرباح النشاط الزراعي المعفاة</t>
  </si>
  <si>
    <t>أرباح النشاط الصناعي المعفاة</t>
  </si>
  <si>
    <t>الأرباح المعفاة بموجب قانون الاستثمار رقم /10/</t>
  </si>
  <si>
    <t>الربح الخاضع للضريبة (57-58)</t>
  </si>
  <si>
    <t>- 4 -</t>
  </si>
  <si>
    <t>حســــاب الضــريبـــة</t>
  </si>
  <si>
    <t>أولاً: الحساب وفق الشرائح التصاعدية مع مراعاة الحسم الديناميكي والحد الأدنى المعفى إن وجد :</t>
  </si>
  <si>
    <t>الربح الخاضع للضريبة</t>
  </si>
  <si>
    <t>الحد الأدنى المعفى ( ينزل من الشريحة الأولى )</t>
  </si>
  <si>
    <t>الشريحـــــــــــــــة</t>
  </si>
  <si>
    <t>المبلــــــــــــغ</t>
  </si>
  <si>
    <t>نسبة الضريبة</t>
  </si>
  <si>
    <t>الضريبــــــــــــــة</t>
  </si>
  <si>
    <t>الضريبة المستحقة</t>
  </si>
  <si>
    <t>ل.س</t>
  </si>
  <si>
    <t>إدارة محلية</t>
  </si>
  <si>
    <t>ثانياً: الحساب وفق معدل وحيد مع مراعاة الحسم الديناميكي إن وجد :</t>
  </si>
  <si>
    <t>المعدل الضريبي</t>
  </si>
  <si>
    <t>المبالغ واجبة السداد</t>
  </si>
  <si>
    <t>البيان</t>
  </si>
  <si>
    <t>المجموع</t>
  </si>
  <si>
    <t xml:space="preserve">مجموع المبالغ المترتبة </t>
  </si>
  <si>
    <r>
      <t>ينزل :</t>
    </r>
    <r>
      <rPr>
        <sz val="11"/>
        <color rgb="FF000000"/>
        <rFont val="Arial"/>
        <family val="2"/>
      </rPr>
      <t xml:space="preserve"> السلف المسددة</t>
    </r>
  </si>
  <si>
    <r>
      <t>ينزل :</t>
    </r>
    <r>
      <rPr>
        <sz val="11"/>
        <color rgb="FF000000"/>
        <rFont val="Arial"/>
        <family val="2"/>
      </rPr>
      <t xml:space="preserve"> الضريبة المسددة وفق البيان الأساسي إذا كان هذا البيان لاحق</t>
    </r>
  </si>
  <si>
    <t>- 5 -</t>
  </si>
  <si>
    <t>السنة الحالية</t>
  </si>
  <si>
    <t>السنة السابقة</t>
  </si>
  <si>
    <t xml:space="preserve">الأصول الثابتة الملموسة </t>
  </si>
  <si>
    <t>الأراضي</t>
  </si>
  <si>
    <t>المباني و الإنشاءات</t>
  </si>
  <si>
    <t>وسائل النقل والانتقال</t>
  </si>
  <si>
    <t>الآلات</t>
  </si>
  <si>
    <t>التجهيزات</t>
  </si>
  <si>
    <t>العدد و الأدوات و القوالب</t>
  </si>
  <si>
    <t>الأثاث والمفروشات</t>
  </si>
  <si>
    <t>الحواسب و البرمجيات</t>
  </si>
  <si>
    <t xml:space="preserve">الأصول غير الملموسة </t>
  </si>
  <si>
    <t>شهرة المحل</t>
  </si>
  <si>
    <t>فروغ المحل</t>
  </si>
  <si>
    <t>حق الامتياز</t>
  </si>
  <si>
    <t>براءة الاختراع</t>
  </si>
  <si>
    <t>مصاريف التأسيس</t>
  </si>
  <si>
    <t>( - ) مجمعات الاهتلاك</t>
  </si>
  <si>
    <r>
      <t>م. اهتلاك المباني و الإنشاءات</t>
    </r>
    <r>
      <rPr>
        <sz val="10"/>
        <color rgb="FF000000"/>
        <rFont val="Calibri"/>
        <family val="2"/>
      </rPr>
      <t> </t>
    </r>
  </si>
  <si>
    <r>
      <t>م.اهتلاك وسائل النقل و الانتقال</t>
    </r>
    <r>
      <rPr>
        <sz val="10"/>
        <color rgb="FF000000"/>
        <rFont val="Calibri"/>
        <family val="2"/>
      </rPr>
      <t> </t>
    </r>
  </si>
  <si>
    <t>م. اهتلاك الآلات</t>
  </si>
  <si>
    <t>م. اهتلاك التجهيزات</t>
  </si>
  <si>
    <t>م.اهتلاك العدد و الأدوات و القوالب</t>
  </si>
  <si>
    <t>م.اهتلاك أثاث و المفروشات</t>
  </si>
  <si>
    <t>م. اهتلاك الحواسب والبرمجيات</t>
  </si>
  <si>
    <t>م.اهتلاك مصاريف التأسيس</t>
  </si>
  <si>
    <t>( - ) مخصصات ومؤونات</t>
  </si>
  <si>
    <t>مخصص انخفاض قيمة الأصول الثابتة الملموسة</t>
  </si>
  <si>
    <t>مخصص انخفاض قيمة الأصول غير الملموسة</t>
  </si>
  <si>
    <r>
      <t>تابع قائمــــة المركــــز المـــالـــي</t>
    </r>
    <r>
      <rPr>
        <sz val="14"/>
        <color rgb="FF000000"/>
        <rFont val="PT Bold Heading"/>
        <charset val="178"/>
      </rPr>
      <t xml:space="preserve"> </t>
    </r>
    <r>
      <rPr>
        <sz val="14"/>
        <color rgb="FF429098"/>
        <rFont val="PT Bold Heading"/>
        <charset val="178"/>
      </rPr>
      <t>موقوفة  بتاريخ</t>
    </r>
    <r>
      <rPr>
        <sz val="14"/>
        <color rgb="FF000000"/>
        <rFont val="PT Bold Heading"/>
        <charset val="178"/>
      </rPr>
      <t xml:space="preserve">       </t>
    </r>
    <r>
      <rPr>
        <sz val="14"/>
        <color rgb="FF429098"/>
        <rFont val="PT Bold Heading"/>
        <charset val="178"/>
      </rPr>
      <t xml:space="preserve">/      /   </t>
    </r>
  </si>
  <si>
    <t>مشروعات تحت التنفيذ</t>
  </si>
  <si>
    <t>تكوين استثماري</t>
  </si>
  <si>
    <t>إنفاق استثماري</t>
  </si>
  <si>
    <t>اعتمادات مستندية وسلف لشراء الأصول طويلة الأجل</t>
  </si>
  <si>
    <r>
      <t>استثمارات طويلة الأجل</t>
    </r>
    <r>
      <rPr>
        <b/>
        <sz val="12"/>
        <color rgb="FF000000"/>
        <rFont val="Arial"/>
        <family val="2"/>
      </rPr>
      <t xml:space="preserve"> </t>
    </r>
  </si>
  <si>
    <t>استثمارات عقارية</t>
  </si>
  <si>
    <t>استثمارات في أسهم شركات تابعة</t>
  </si>
  <si>
    <t>استثمارات في أسهم شركات زميلة</t>
  </si>
  <si>
    <t>إقراض طويل الأجل</t>
  </si>
  <si>
    <t>توظيفات مالية</t>
  </si>
  <si>
    <t>المخزون ( أخر المدة)</t>
  </si>
  <si>
    <t>إنتاج تام</t>
  </si>
  <si>
    <t>إنتاج تحت الصنع</t>
  </si>
  <si>
    <t>بضائع مشتراة بغرض البيع</t>
  </si>
  <si>
    <t>بضائع لدى الغير</t>
  </si>
  <si>
    <t>المواد الأولية</t>
  </si>
  <si>
    <t>( - ) مخصص انخفاض قيمة المخزون</t>
  </si>
  <si>
    <t xml:space="preserve">المدينون </t>
  </si>
  <si>
    <t>زبائن</t>
  </si>
  <si>
    <r>
      <t xml:space="preserve">( - ) </t>
    </r>
    <r>
      <rPr>
        <sz val="10"/>
        <color theme="1"/>
        <rFont val="Arial"/>
        <family val="2"/>
      </rPr>
      <t>مؤونة</t>
    </r>
    <r>
      <rPr>
        <sz val="10"/>
        <color rgb="FF000000"/>
        <rFont val="Arial"/>
        <family val="2"/>
      </rPr>
      <t xml:space="preserve"> ديون مشكوك فيها</t>
    </r>
  </si>
  <si>
    <t>أوراق قبض</t>
  </si>
  <si>
    <t>( - ) مخصص خصم أوراق قبض</t>
  </si>
  <si>
    <t>ذمم متفرقة</t>
  </si>
  <si>
    <t>سلف ضريبية عن العام الحالي</t>
  </si>
  <si>
    <t>سلف ضريبية عن أعوام سابقة</t>
  </si>
  <si>
    <t>رسوم إجازات الاستيراد</t>
  </si>
  <si>
    <t>سلف وتأمينات قصيرة الأجل</t>
  </si>
  <si>
    <t>تأمينات نهائية</t>
  </si>
  <si>
    <r>
      <t>حسابات مدينة مختلفة</t>
    </r>
    <r>
      <rPr>
        <b/>
        <sz val="12"/>
        <color rgb="FF000000"/>
        <rFont val="Arial"/>
        <family val="2"/>
      </rPr>
      <t xml:space="preserve">  </t>
    </r>
  </si>
  <si>
    <t>حسابات مدينة لدى الشركات التابعة والقابضة / زميلة</t>
  </si>
  <si>
    <t xml:space="preserve">إيرادات مستحقة غير مقبوضة </t>
  </si>
  <si>
    <t xml:space="preserve">مصاريف مدفوعة مقدما </t>
  </si>
  <si>
    <t>مدينو أقساط رأس المال</t>
  </si>
  <si>
    <t>توظيفات مالية قصيرة الأجل</t>
  </si>
  <si>
    <t>أوراق مالية للمتاجرة</t>
  </si>
  <si>
    <t xml:space="preserve">إقراض قصير الأجل </t>
  </si>
  <si>
    <t xml:space="preserve">الأموال الجاهزة  </t>
  </si>
  <si>
    <t>الصندوق</t>
  </si>
  <si>
    <t>المصارف *</t>
  </si>
  <si>
    <t>سلف دائمة</t>
  </si>
  <si>
    <t xml:space="preserve">أوراق برسم التحصيل </t>
  </si>
  <si>
    <t>*إرفاق قائمة بأرصدة كافة حسابات المصارف التي تتعامل معها.</t>
  </si>
  <si>
    <t>حسابات نظامية مدينة</t>
  </si>
  <si>
    <t> 191</t>
  </si>
  <si>
    <t> 192</t>
  </si>
  <si>
    <t> 1</t>
  </si>
  <si>
    <t>مجمـوع الأصــول</t>
  </si>
  <si>
    <r>
      <t>حقوق الملكية</t>
    </r>
    <r>
      <rPr>
        <b/>
        <sz val="12"/>
        <color rgb="FF000000"/>
        <rFont val="Arial"/>
        <family val="2"/>
      </rPr>
      <t xml:space="preserve"> </t>
    </r>
  </si>
  <si>
    <t xml:space="preserve">رأس المال المصرح به </t>
  </si>
  <si>
    <t>رأس المال غير المدفوع</t>
  </si>
  <si>
    <t xml:space="preserve">رأس المال المدفوع </t>
  </si>
  <si>
    <t xml:space="preserve">(+) علاوة إصدار الأسهم </t>
  </si>
  <si>
    <t xml:space="preserve">(- ) خصم إصدار الأسهم </t>
  </si>
  <si>
    <t>فرق إعادة التقييم</t>
  </si>
  <si>
    <t>الاحتياطيات</t>
  </si>
  <si>
    <t>احتياطي إجباري</t>
  </si>
  <si>
    <t>احتياطي اختياري</t>
  </si>
  <si>
    <t>احتياطي ارتفاع أسعار الأصول الثابتة</t>
  </si>
  <si>
    <t>احتياطي التوسع الصناعي</t>
  </si>
  <si>
    <t xml:space="preserve">الأرباح المرحلة </t>
  </si>
  <si>
    <t>أرباح مرحلة ومدورة من سنوات سابقة</t>
  </si>
  <si>
    <t>(-) العجز المرحل *</t>
  </si>
  <si>
    <t xml:space="preserve"> الحسابات الجارية</t>
  </si>
  <si>
    <r>
      <t>(+)</t>
    </r>
    <r>
      <rPr>
        <sz val="10"/>
        <color rgb="FF000000"/>
        <rFont val="Arial"/>
        <family val="2"/>
      </rPr>
      <t xml:space="preserve"> الحسابات الجارية </t>
    </r>
  </si>
  <si>
    <t>(- ) الحسابات الجارية</t>
  </si>
  <si>
    <t>الالتزامات</t>
  </si>
  <si>
    <t>قروض والتزامات طويلة الأجل</t>
  </si>
  <si>
    <t xml:space="preserve">التزامات طويلة الأجل </t>
  </si>
  <si>
    <t xml:space="preserve">قروض طويلة الأجل من البنوك </t>
  </si>
  <si>
    <t xml:space="preserve">قروض من شركات قابضة وتابعة </t>
  </si>
  <si>
    <t xml:space="preserve">قروض طويلة الأجل أخرى </t>
  </si>
  <si>
    <r>
      <t xml:space="preserve">قروض </t>
    </r>
    <r>
      <rPr>
        <b/>
        <sz val="11"/>
        <color rgb="FF000000"/>
        <rFont val="Arial"/>
        <family val="2"/>
      </rPr>
      <t xml:space="preserve">والتزامات قصيرة الأجل </t>
    </r>
  </si>
  <si>
    <t>موردون</t>
  </si>
  <si>
    <t xml:space="preserve">أوراق دفع </t>
  </si>
  <si>
    <t xml:space="preserve">تأمينات للغير </t>
  </si>
  <si>
    <t xml:space="preserve">أقساط قروض وقروض قصيرة الأجل </t>
  </si>
  <si>
    <r>
      <t xml:space="preserve">ضرائب مستحقة </t>
    </r>
    <r>
      <rPr>
        <sz val="14"/>
        <color theme="1"/>
        <rFont val="Arial"/>
        <family val="2"/>
      </rPr>
      <t>*</t>
    </r>
  </si>
  <si>
    <r>
      <t xml:space="preserve">تأمينات مستحقة </t>
    </r>
    <r>
      <rPr>
        <sz val="14"/>
        <color theme="1"/>
        <rFont val="Arial"/>
        <family val="2"/>
      </rPr>
      <t>**</t>
    </r>
  </si>
  <si>
    <r>
      <t xml:space="preserve">رسوم جمركية مستحقة </t>
    </r>
    <r>
      <rPr>
        <sz val="14"/>
        <color theme="1"/>
        <rFont val="Arial"/>
        <family val="2"/>
      </rPr>
      <t>***</t>
    </r>
  </si>
  <si>
    <t xml:space="preserve">دائنو توزيع الأرباح </t>
  </si>
  <si>
    <t xml:space="preserve">حسابات دائنة مختلفة </t>
  </si>
  <si>
    <t>المصروفات المستحقة وغير المدفوعة</t>
  </si>
  <si>
    <t>إيرادات مقبوضة مقدماً</t>
  </si>
  <si>
    <t>حسابات نظامية دائنة</t>
  </si>
  <si>
    <t>مجموع الالتزامات وحقوق الملكية</t>
  </si>
  <si>
    <r>
      <t>*</t>
    </r>
    <r>
      <rPr>
        <sz val="11"/>
        <color theme="1"/>
        <rFont val="Arial"/>
        <family val="2"/>
      </rPr>
      <t xml:space="preserve"> يتمثل هذا الحساب بالضرائب المختلفة المستحقة للدوائر المالية (دخل الرواتب والأجور – دخل الأرباح- ريع العقارات وغير ذلك).</t>
    </r>
  </si>
  <si>
    <r>
      <t>**</t>
    </r>
    <r>
      <rPr>
        <sz val="13"/>
        <color theme="1"/>
        <rFont val="Arial"/>
        <family val="2"/>
      </rPr>
      <t xml:space="preserve"> </t>
    </r>
    <r>
      <rPr>
        <sz val="11"/>
        <color theme="1"/>
        <rFont val="Arial"/>
        <family val="2"/>
      </rPr>
      <t>يتمثل هذا الحساب باشتراكات العاملين وحصة رب العمل في التأمينات الاجتماعية المستحقة وغير المدفوعة .</t>
    </r>
  </si>
  <si>
    <r>
      <t xml:space="preserve">*** </t>
    </r>
    <r>
      <rPr>
        <sz val="11"/>
        <color theme="1"/>
        <rFont val="Arial"/>
        <family val="2"/>
      </rPr>
      <t>يتمثل هذا الحساب بالرسوم الجمركية المستحقة للأمانات الجمركية.</t>
    </r>
  </si>
  <si>
    <t>- 6 -</t>
  </si>
  <si>
    <t>- 7 -</t>
  </si>
  <si>
    <t>- 8 -</t>
  </si>
  <si>
    <t>- 9 -</t>
  </si>
  <si>
    <t>- 10 -</t>
  </si>
  <si>
    <t>المواد الخام أول المدة</t>
  </si>
  <si>
    <t>المواد الأولية أول المدة</t>
  </si>
  <si>
    <t xml:space="preserve">المواد المساعدة أول المدة </t>
  </si>
  <si>
    <t>(+) مشتريات  المواد الأولية</t>
  </si>
  <si>
    <t xml:space="preserve"> مشتريات مواد أولية مستوردة</t>
  </si>
  <si>
    <t xml:space="preserve"> مشتريات مواد أولية محلية</t>
  </si>
  <si>
    <t>(+) مشتريات مواد مساعدة</t>
  </si>
  <si>
    <t xml:space="preserve">مشتريات مواد مساعدة مستوردة </t>
  </si>
  <si>
    <t xml:space="preserve">مشتريات مواد مساعدة محلية </t>
  </si>
  <si>
    <t xml:space="preserve">(-) مردودات مشتريات </t>
  </si>
  <si>
    <t xml:space="preserve">مواد أولية </t>
  </si>
  <si>
    <t xml:space="preserve">مواد مساعدة </t>
  </si>
  <si>
    <t>(-) حسم مكتسب</t>
  </si>
  <si>
    <t>(-) المواد الخام آخر المدة</t>
  </si>
  <si>
    <t xml:space="preserve">المواد الأولية  آخر المدة  </t>
  </si>
  <si>
    <t xml:space="preserve">المواد المساعدة أخر المدة </t>
  </si>
  <si>
    <t xml:space="preserve">تكلفة المواد الخام المستخدمة بالإنتاج </t>
  </si>
  <si>
    <t xml:space="preserve">(+) المصاريف الصناعية  </t>
  </si>
  <si>
    <t>رواتب وأجور وتعويضات</t>
  </si>
  <si>
    <t xml:space="preserve">رواتب وأجور </t>
  </si>
  <si>
    <t>تعويضات ومكافآت و حوافز</t>
  </si>
  <si>
    <t>مساهمة رب العمل في التأمينات الاجتماعية</t>
  </si>
  <si>
    <t xml:space="preserve">مستلزمات خدمية </t>
  </si>
  <si>
    <t xml:space="preserve">كهرباء و مياه </t>
  </si>
  <si>
    <t>بريد وبرق وهاتف</t>
  </si>
  <si>
    <t>صيانة و إصلاح</t>
  </si>
  <si>
    <t>نقل و تحميل </t>
  </si>
  <si>
    <t>بحوث و تطوير عينات</t>
  </si>
  <si>
    <t>مصاريف مختلفة</t>
  </si>
  <si>
    <r>
      <t>تابع قائمة التشغيل للنشاط الصناعي كما تظهر في     /      /</t>
    </r>
    <r>
      <rPr>
        <sz val="14"/>
        <color rgb="FF000000"/>
        <rFont val="PT Bold Heading"/>
        <charset val="178"/>
      </rPr>
      <t xml:space="preserve">   </t>
    </r>
  </si>
  <si>
    <t>وقود و قوى محركة للتشغيل</t>
  </si>
  <si>
    <t xml:space="preserve">أعباء الاهتلاكات </t>
  </si>
  <si>
    <t xml:space="preserve">اهتلاك الآلات </t>
  </si>
  <si>
    <t>اهتلاك التجهيزات</t>
  </si>
  <si>
    <t>اهتلاك العدد و الأدوات و القوالب</t>
  </si>
  <si>
    <t>مصاريف صناعية أخرى</t>
  </si>
  <si>
    <t xml:space="preserve">إيجار المبنى </t>
  </si>
  <si>
    <t>نفقات تشغيل للغير</t>
  </si>
  <si>
    <r>
      <t xml:space="preserve">تكلفة الصنع </t>
    </r>
    <r>
      <rPr>
        <b/>
        <sz val="10"/>
        <color rgb="FF000000"/>
        <rFont val="Arial"/>
        <family val="2"/>
      </rPr>
      <t>(31+32)</t>
    </r>
  </si>
  <si>
    <t>(-) تالف طبيعي</t>
  </si>
  <si>
    <t>(+)  مخزون إنتاج تحت الصنع أول المدة</t>
  </si>
  <si>
    <t xml:space="preserve">(-)  مخزون إنتاج تحت الصنع أخر المدة </t>
  </si>
  <si>
    <t>تكلفة الإنتاج التام خلال العام</t>
  </si>
  <si>
    <t>(34+1421-1422)</t>
  </si>
  <si>
    <t>(+)  مخزون إنتاج تام أول المدة</t>
  </si>
  <si>
    <t xml:space="preserve">(-)  مخزون إنتاج تام أخر المدة </t>
  </si>
  <si>
    <t>تكلفة الإنتاج المباع خلال العام</t>
  </si>
  <si>
    <t>(35+1411-1412)</t>
  </si>
  <si>
    <t>- 11 -</t>
  </si>
  <si>
    <t>- 12 -</t>
  </si>
  <si>
    <t>إجمالي إيرادات النشاط التجاري</t>
  </si>
  <si>
    <t>مبيعات محلية</t>
  </si>
  <si>
    <t>مبيعات قطاع عام</t>
  </si>
  <si>
    <t>مبيعات قطاع خاص</t>
  </si>
  <si>
    <t>مبيعات تصدير</t>
  </si>
  <si>
    <t xml:space="preserve">(-) مردودات مبيعات </t>
  </si>
  <si>
    <t>(-) حسم ممنوح</t>
  </si>
  <si>
    <t>(+) إيرادات تشغيل للغير</t>
  </si>
  <si>
    <t xml:space="preserve">تكلفة المبيعات </t>
  </si>
  <si>
    <t xml:space="preserve">بضاعة أول المدة </t>
  </si>
  <si>
    <t xml:space="preserve">(+) بضاعة محلية </t>
  </si>
  <si>
    <t xml:space="preserve">(+) بضاعة مستوردة </t>
  </si>
  <si>
    <t xml:space="preserve">(-)  مردودات مشتريات </t>
  </si>
  <si>
    <t xml:space="preserve">(-) بضاعة آخر المدة </t>
  </si>
  <si>
    <t>مصاريف البيع والتوزيع</t>
  </si>
  <si>
    <t>مصاريف النقل و التوزيع</t>
  </si>
  <si>
    <t>مصاريف الدعاية و الإعلان</t>
  </si>
  <si>
    <t xml:space="preserve">اهتلاك وسائل نقل </t>
  </si>
  <si>
    <t>مصاريف أخرى</t>
  </si>
  <si>
    <r>
      <t xml:space="preserve">مجمل الربح (الخسارة) من النشاط التجاري </t>
    </r>
    <r>
      <rPr>
        <b/>
        <sz val="9"/>
        <color rgb="FF000000"/>
        <rFont val="Arial"/>
        <family val="2"/>
      </rPr>
      <t>(411-371-372)</t>
    </r>
  </si>
  <si>
    <t>إجمالي إيرادات النشاط الصناعي</t>
  </si>
  <si>
    <t>تابع قائمة الدخل كما تظهر في     /      /    20</t>
  </si>
  <si>
    <t xml:space="preserve">(-) مردودات مبيعات الإنتاج التام </t>
  </si>
  <si>
    <t>(-) الحسم الممنوح</t>
  </si>
  <si>
    <t>مبيعات مواد خام</t>
  </si>
  <si>
    <t xml:space="preserve"> (+) إيرادات تشغيل للغير</t>
  </si>
  <si>
    <r>
      <t>مصاريف البيع والتوزيع</t>
    </r>
    <r>
      <rPr>
        <sz val="10"/>
        <color rgb="FF000000"/>
        <rFont val="Arial"/>
        <family val="2"/>
      </rPr>
      <t xml:space="preserve"> </t>
    </r>
  </si>
  <si>
    <t>مجمل الربح (الخسارة) من النشاط الصناعي (412-373-374)</t>
  </si>
  <si>
    <t>إجمالي الإيرادات من النشاط الخدمي</t>
  </si>
  <si>
    <t xml:space="preserve">المصاريف المباشرة </t>
  </si>
  <si>
    <r>
      <t xml:space="preserve">مجمل الربح ( الخسارة ) من النشاط الخدمي </t>
    </r>
    <r>
      <rPr>
        <b/>
        <sz val="10"/>
        <color rgb="FF000000"/>
        <rFont val="Arial"/>
        <family val="2"/>
      </rPr>
      <t>(413-375)</t>
    </r>
  </si>
  <si>
    <r>
      <t xml:space="preserve">تكلفة الأنشطة الموحدة </t>
    </r>
    <r>
      <rPr>
        <b/>
        <sz val="9"/>
        <color rgb="FF000000"/>
        <rFont val="Arial"/>
        <family val="2"/>
      </rPr>
      <t>(371+372+373+374+375)</t>
    </r>
  </si>
  <si>
    <t>مجمل الربح ( الخسارة ) من كافة الأنشطة (421+422+423)</t>
  </si>
  <si>
    <r>
      <t>(+) إيرادات متنوعة أخرى</t>
    </r>
    <r>
      <rPr>
        <sz val="11"/>
        <color rgb="FF000000"/>
        <rFont val="Arial"/>
        <family val="2"/>
      </rPr>
      <t xml:space="preserve"> </t>
    </r>
  </si>
  <si>
    <t xml:space="preserve">إيرادات أوراق مالية </t>
  </si>
  <si>
    <t xml:space="preserve">إيجارات دائنة </t>
  </si>
  <si>
    <t xml:space="preserve">ديون سبق إعدامها </t>
  </si>
  <si>
    <t xml:space="preserve">تعويضات وغرامات على الغير </t>
  </si>
  <si>
    <t xml:space="preserve">عمولات </t>
  </si>
  <si>
    <t>مخصصات غير مستخدمة</t>
  </si>
  <si>
    <t>أرباح بيع تالف ومخلفات</t>
  </si>
  <si>
    <t xml:space="preserve">أرباح بيع تالف غير طبيعي </t>
  </si>
  <si>
    <t>إيرادات أخرى</t>
  </si>
  <si>
    <t>فروقات قطع إيجابية محققة</t>
  </si>
  <si>
    <t xml:space="preserve">(-) مصاريف إدارية </t>
  </si>
  <si>
    <t>مصاريف خدمية مختلفة أساسية</t>
  </si>
  <si>
    <t>كهرباء ومياه</t>
  </si>
  <si>
    <t>تعويضات ومكافآت وحوافز</t>
  </si>
  <si>
    <t>مصاريف إدارية متنوعة</t>
  </si>
  <si>
    <t>دعاية وإعلان</t>
  </si>
  <si>
    <t>ضيافة</t>
  </si>
  <si>
    <t xml:space="preserve">تبرعات </t>
  </si>
  <si>
    <t>إيجارات</t>
  </si>
  <si>
    <t>قرطاسية ومطبوعات</t>
  </si>
  <si>
    <t>غرامات وتعويضات للغير</t>
  </si>
  <si>
    <t>صيانة وإصلاح</t>
  </si>
  <si>
    <t>المخصصات والمؤونات المشكلة</t>
  </si>
  <si>
    <t>مخصص انخفاض قيمة أصول ملموسة</t>
  </si>
  <si>
    <t>مخصص انخفاض قيمة أصول غير ملموسة</t>
  </si>
  <si>
    <t>مؤونة ديون مشكوك فيها</t>
  </si>
  <si>
    <t>مخصص خصم أوراق قبض</t>
  </si>
  <si>
    <t>مخصص انخفاض قيمة المخزون</t>
  </si>
  <si>
    <t>مخصصات أخرى</t>
  </si>
  <si>
    <t>فروقات قطع سلبية محققة</t>
  </si>
  <si>
    <t>مصاريف إدارية أخرى</t>
  </si>
  <si>
    <t>صافي الربح ( الخسارة ) من الأنشطة التشغيلية (42+43-38)</t>
  </si>
  <si>
    <t>(+) الإيرادات الرأسمالية والتمويلية</t>
  </si>
  <si>
    <t xml:space="preserve">الأرباح الرأسمالية </t>
  </si>
  <si>
    <t xml:space="preserve">الفوائد الدائنة </t>
  </si>
  <si>
    <t xml:space="preserve">مكاسب إعادة التقدير المحققة  </t>
  </si>
  <si>
    <t>إيرادات سنوات سابقة</t>
  </si>
  <si>
    <r>
      <t>(-) المصاريف الرأسمالية والتمويلية</t>
    </r>
    <r>
      <rPr>
        <sz val="11"/>
        <color rgb="FF000000"/>
        <rFont val="Arial"/>
        <family val="2"/>
      </rPr>
      <t xml:space="preserve"> </t>
    </r>
  </si>
  <si>
    <t xml:space="preserve">الخسائر الرأسمالية </t>
  </si>
  <si>
    <t xml:space="preserve">الفوائد المدينة </t>
  </si>
  <si>
    <t>صافي الربح (الخسارة)</t>
  </si>
  <si>
    <t>(44+45-39)</t>
  </si>
  <si>
    <t>أرباح بيع الأوراق المالية ( الأسهم والصكوك والسندات )</t>
  </si>
  <si>
    <t>خسائر بيع الأوراق المالية ( الأسهم والصكوك والسندات )</t>
  </si>
  <si>
    <t>- 13 -</t>
  </si>
  <si>
    <t>- 14 -</t>
  </si>
  <si>
    <t>- 15 -</t>
  </si>
  <si>
    <t>- 16 -</t>
  </si>
  <si>
    <t>جدول استهلاك الموجودات الثابتة</t>
  </si>
  <si>
    <t>إجمالي الأصول في بداية السنة</t>
  </si>
  <si>
    <t>الإضافات خلال السنة</t>
  </si>
  <si>
    <t>الاستبعاد خلال السنة</t>
  </si>
  <si>
    <t>إجمالي الأصول في نهاية السنة</t>
  </si>
  <si>
    <t>استهلاك الأصول بداية السنة</t>
  </si>
  <si>
    <t>استهلاك الإضافات خلال السنة</t>
  </si>
  <si>
    <t>استهلاك السنة</t>
  </si>
  <si>
    <t>مجمع الاستهلاكات في نهاية السنة</t>
  </si>
  <si>
    <t>صافي القيمة الدفترية</t>
  </si>
  <si>
    <t>مدة الاستهلاك</t>
  </si>
  <si>
    <t>نسبة الاستهلاك</t>
  </si>
  <si>
    <t>(1+2-3)</t>
  </si>
  <si>
    <t>(1-3)×11×12</t>
  </si>
  <si>
    <t>2×11×12</t>
  </si>
  <si>
    <t>(6+7)</t>
  </si>
  <si>
    <t>(5+8)</t>
  </si>
  <si>
    <t>(4-9)</t>
  </si>
  <si>
    <t>- 17 -</t>
  </si>
  <si>
    <t>- 18 -</t>
  </si>
  <si>
    <t>نموذج ( 2 / أ )</t>
  </si>
  <si>
    <t> تصفية جزئية</t>
  </si>
  <si>
    <t> أعمال سنوي</t>
  </si>
  <si>
    <t xml:space="preserve">مديرية مالية محافظة </t>
  </si>
  <si>
    <t>الجمهورية العربية السورية</t>
  </si>
  <si>
    <t>الهيئة العامة للضرائب والرسوم</t>
  </si>
  <si>
    <t>الرقم الضريبي</t>
  </si>
  <si>
    <t>المهنة :</t>
  </si>
  <si>
    <t>مؤسسة فردية</t>
  </si>
  <si>
    <t></t>
  </si>
  <si>
    <t>  تصفية نهائية :</t>
  </si>
  <si>
    <t>نوع البيـان :      أساسي     لاحق</t>
  </si>
  <si>
    <t>الشخصية الاعتبارية</t>
  </si>
  <si>
    <t>طبيعة النشاط</t>
  </si>
  <si>
    <t>الاسم والشهرة :</t>
  </si>
  <si>
    <t>اسم الأب :</t>
  </si>
  <si>
    <t>اسم الأم :</t>
  </si>
  <si>
    <t>اسم الشركة :</t>
  </si>
  <si>
    <t>نوعها :</t>
  </si>
  <si>
    <t>الاسم التجاري :</t>
  </si>
  <si>
    <t>○</t>
  </si>
  <si>
    <t>بسبب الوفاة</t>
  </si>
  <si>
    <t>بسبب الاندماج</t>
  </si>
  <si>
    <t>بسبب الانحلال</t>
  </si>
  <si>
    <t>تجاري</t>
  </si>
  <si>
    <t>صناعي</t>
  </si>
  <si>
    <t>خدمي</t>
  </si>
  <si>
    <t>استناداً لأحكام قانون ضريبة الدخل / 24 / لعام 2003 وتعديلاته :</t>
  </si>
  <si>
    <t>فقط :</t>
  </si>
  <si>
    <t>لا غير .</t>
  </si>
  <si>
    <t>تاريخ التصفية :          /         /       20 م</t>
  </si>
  <si>
    <t>تاريخ الوفاة :           /         /       20 م</t>
  </si>
  <si>
    <t>لا</t>
  </si>
  <si>
    <t>نعم</t>
  </si>
  <si>
    <t>هل تقدمت بسلف على الضريبة في سنة التكليف؟</t>
  </si>
  <si>
    <t xml:space="preserve">هل تقدمت ببيانات تصفية جزئية في سنة التكليف؟ </t>
  </si>
  <si>
    <t>هل حصلت على مهلة إضافية لتقديم البيان ؟</t>
  </si>
  <si>
    <t>هل سنة التكليف لديك تبدأ بغير 1/ 1</t>
  </si>
  <si>
    <t>هل البيان المقدم نتيجة لإنذار ؟</t>
  </si>
  <si>
    <t>هل لديك أعمال منفذة خاضعة للقانون / 60 / ؟</t>
  </si>
  <si>
    <t>هل لديك أعمال خاضعة لقوانين ضريبية أخرى ؟</t>
  </si>
  <si>
    <t>هل لديك حد أدنى معفى ؟</t>
  </si>
  <si>
    <t>إجمالي السلف المسددة</t>
  </si>
  <si>
    <t xml:space="preserve">إجمالي المترتب ببيانات التصفية الجزئية المسددة </t>
  </si>
  <si>
    <t>رقم القرار</t>
  </si>
  <si>
    <t>مدة المهلة الإضافية</t>
  </si>
  <si>
    <t>تاريخ    /     /    20م</t>
  </si>
  <si>
    <t>السنة المالية تبدأ من     /     وتنتهي في     /      رقم القرار</t>
  </si>
  <si>
    <t>تاريخ تبليغ الإنذار</t>
  </si>
  <si>
    <t>إجمالي قيمة الأعمال المنفذة بعام التكليف</t>
  </si>
  <si>
    <t>خاضعة لقانون</t>
  </si>
  <si>
    <t>تاريخه :      /      /     20م .</t>
  </si>
  <si>
    <t xml:space="preserve">عدد الشركاء المستفيدين </t>
  </si>
  <si>
    <t>م</t>
  </si>
  <si>
    <t>الاسم الثلاثي للشريك المستفيد</t>
  </si>
  <si>
    <t>الرقم الوطني</t>
  </si>
  <si>
    <t>الإعفاءات :</t>
  </si>
  <si>
    <t>إعفاء صناعي</t>
  </si>
  <si>
    <t>إعفاء صادرات</t>
  </si>
  <si>
    <t>إعفاء قانون الاستثمار</t>
  </si>
  <si>
    <t xml:space="preserve">إعفاء المرسوم التشريعي / 54 / </t>
  </si>
  <si>
    <t>إعفاء سياحي</t>
  </si>
  <si>
    <t>إعفاء نقل بحري وجوي</t>
  </si>
  <si>
    <t>إعفاء زراعي</t>
  </si>
  <si>
    <t>إعفاءات أخرى</t>
  </si>
  <si>
    <t> في حال عدم كفاية الحقول ترفق البيانات الإضافية .</t>
  </si>
  <si>
    <t> يمنع الشطب أو الحك أو التصحيح تحت طائلة إلغاء المستندية القانونية .</t>
  </si>
  <si>
    <r>
      <t xml:space="preserve"> توضع إشارة </t>
    </r>
    <r>
      <rPr>
        <sz val="10"/>
        <color theme="1"/>
        <rFont val="Wingdings 2"/>
        <family val="1"/>
        <charset val="2"/>
      </rPr>
      <t xml:space="preserve"> P</t>
    </r>
    <r>
      <rPr>
        <sz val="10"/>
        <color theme="1"/>
        <rFont val="Arial"/>
        <family val="2"/>
      </rPr>
      <t xml:space="preserve"> على الخيار الصحيح .</t>
    </r>
  </si>
  <si>
    <t>*رقم العمل السنوي للمكلف : يمثل رقم عمل المكلف من كافة الأنشطة التي يمارسها .</t>
  </si>
  <si>
    <t>- 1 -</t>
  </si>
  <si>
    <t>النشاط الصناعي</t>
  </si>
  <si>
    <t>النشاط غير الصناعي</t>
  </si>
  <si>
    <t>الحسم الديناميكي</t>
  </si>
  <si>
    <t>عدد الدرجات</t>
  </si>
  <si>
    <t>الحسم الديناميكي استناداً للقرار رقم ....................</t>
  </si>
  <si>
    <t>تاريخ      /      /     20</t>
  </si>
  <si>
    <t>عدد العمال</t>
  </si>
  <si>
    <t>المدينة الصناعية</t>
  </si>
  <si>
    <t>المنطقة النائية</t>
  </si>
  <si>
    <t>حسومات أخرى</t>
  </si>
  <si>
    <t xml:space="preserve">تاريخه :     /      /    20    </t>
  </si>
  <si>
    <t>تاريخه :     /      /     20</t>
  </si>
  <si>
    <t>إجمالي عدد درجات الحسم المستفاد منها</t>
  </si>
  <si>
    <t>معدلات الحسم الديناميكي :</t>
  </si>
  <si>
    <t>نرفق / أرفق بالبيان ما يلي:</t>
  </si>
  <si>
    <t xml:space="preserve">اسم المكلف وتوقيعه وخاتمه    </t>
  </si>
  <si>
    <t>استناداً لأحكام المادة 17 من القانون 24 لعام 2003 وتعديلاته ومع مراعاة أحكام المادة 45 من القانون 33 لعام 2009 القاضية :</t>
  </si>
  <si>
    <t xml:space="preserve"> يجب ألا تعتمدوا أي بيان ضريبي يعتقد بأنه:</t>
  </si>
  <si>
    <r>
      <t>ü</t>
    </r>
    <r>
      <rPr>
        <sz val="7"/>
        <color theme="1"/>
        <rFont val="Times New Roman"/>
        <family val="1"/>
      </rPr>
      <t xml:space="preserve">      </t>
    </r>
    <r>
      <rPr>
        <sz val="11"/>
        <color theme="1"/>
        <rFont val="Arial"/>
        <family val="2"/>
      </rPr>
      <t>يحتوي على بيانات أو معلومات أعدت بإهمال أو دون معرفة حقيقية.</t>
    </r>
  </si>
  <si>
    <r>
      <t>ü</t>
    </r>
    <r>
      <rPr>
        <sz val="7"/>
        <color theme="1"/>
        <rFont val="Times New Roman"/>
        <family val="1"/>
      </rPr>
      <t xml:space="preserve">      </t>
    </r>
    <r>
      <rPr>
        <sz val="11"/>
        <color theme="1"/>
        <rFont val="Arial"/>
        <family val="2"/>
      </rPr>
      <t>يحذف أو يخفي معلومات مطلوبة ويؤدي هذا الحذف أو الإخفاء إلى تضليل الدوائر المالية.</t>
    </r>
  </si>
  <si>
    <t xml:space="preserve"> نعتمد هذا البيان للمكلف :</t>
  </si>
  <si>
    <t xml:space="preserve">اسم المحاسب القانوني الثلاثي: </t>
  </si>
  <si>
    <t>الرقم الوطني :</t>
  </si>
  <si>
    <t>الرقم الضريبي :</t>
  </si>
  <si>
    <t>العنوان :</t>
  </si>
  <si>
    <t>الهاتف :</t>
  </si>
  <si>
    <t xml:space="preserve">رقم الترخيص: </t>
  </si>
  <si>
    <t>مصدره :</t>
  </si>
  <si>
    <t>توقيع المحاسب القانوني وخاتمه</t>
  </si>
  <si>
    <t> شريحة الشركات المساهمة التي طرحت أسهمها على الاكتتاب العام بنسبة لا تقل عن 50% في القطاعين الخاص والمشترك.</t>
  </si>
  <si>
    <t> شريحة الشركات المساهمة الأخرى في القطاعين الخاص والمشترك ، والمحدودة المسؤولية والمشاريع المشملة بقوانين تشجيع الاستثمار.</t>
  </si>
  <si>
    <t> شريحة شركات المحاسبة وتدقيق الحسابات</t>
  </si>
  <si>
    <t xml:space="preserve"> شريحة مكاتب وشركات الصيرفة . </t>
  </si>
  <si>
    <r>
      <t>ü</t>
    </r>
    <r>
      <rPr>
        <sz val="7"/>
        <color theme="1"/>
        <rFont val="Times New Roman"/>
        <family val="1"/>
      </rPr>
      <t xml:space="preserve">      </t>
    </r>
    <r>
      <rPr>
        <sz val="11"/>
        <color theme="1"/>
        <rFont val="Arial"/>
        <family val="2"/>
      </rPr>
      <t>يحتوي على بيانات خاطئة أو مضللة.</t>
    </r>
  </si>
  <si>
    <r>
      <rPr>
        <sz val="11"/>
        <color theme="8" tint="-0.249977111117893"/>
        <rFont val="PT Bold Heading"/>
        <charset val="178"/>
      </rPr>
      <t>التعهــد</t>
    </r>
    <r>
      <rPr>
        <sz val="11"/>
        <color theme="1"/>
        <rFont val="Arial"/>
        <family val="2"/>
        <charset val="178"/>
        <scheme val="minor"/>
      </rPr>
      <t xml:space="preserve">
</t>
    </r>
    <r>
      <rPr>
        <sz val="11"/>
        <color theme="1"/>
        <rFont val="Arial"/>
        <family val="2"/>
      </rPr>
      <t xml:space="preserve">أنا الموقع أدناه أتعهد بأن كافة المعلومات الواردة في هذا البيان الضريبي صحيحة وهي من واقع القيود والمستندات وأتحمل كافة التبعات القانونية في حال تبين خلاف ذلك.   </t>
    </r>
    <r>
      <rPr>
        <sz val="11"/>
        <color theme="1"/>
        <rFont val="Arial"/>
        <family val="2"/>
        <charset val="178"/>
        <scheme val="minor"/>
      </rPr>
      <t xml:space="preserve">                                                                                     
</t>
    </r>
    <r>
      <rPr>
        <sz val="11"/>
        <color theme="1"/>
        <rFont val="Arial"/>
        <family val="2"/>
        <charset val="178"/>
        <scheme val="minor"/>
      </rPr>
      <t xml:space="preserve">
</t>
    </r>
  </si>
  <si>
    <t xml:space="preserve">الشرائح التي يخضع لها : </t>
  </si>
  <si>
    <t xml:space="preserve"> شرائح تصاعدية </t>
  </si>
  <si>
    <t> شريحة أرباح جهات القطاع العام الاقتصادي وأرباح الشركة السورية للنفط وأرباح الشركة السورية للغاز</t>
  </si>
  <si>
    <t> قائمة بالسلف المسددة.</t>
  </si>
  <si>
    <t> قائمة بمعلومات بيانات التصفية الجزئية.</t>
  </si>
  <si>
    <t> شهادة المحاسب القانوني وتقرير الإيضاحات.</t>
  </si>
  <si>
    <t> كشف تفصيلي بالأعمال المنفذة والخاضعة للقانون رقم60 لعام 2004والأعمال الخاضعة لقوانين ضريبية أخرى بعام التكليف.</t>
  </si>
  <si>
    <t> ثبوتيات الإعفاء إن وجدت.</t>
  </si>
  <si>
    <t> صورة عن قرار الحسومات الديناميكية إن وجدت .</t>
  </si>
  <si>
    <t> كشف تفصيلي بكافة إيرادات النشاط الخدمي المذكورة في قائمة الدخل والواردة في البند 413 .</t>
  </si>
  <si>
    <t> كشف تفصيلي بكافة المصاريف المباشرة للنشاط الخدمي المذكورة في قائمة الدخل والواردة في البند 375 .</t>
  </si>
  <si>
    <t>رقم الديوان</t>
  </si>
  <si>
    <t>تاريخه :     /     /    20</t>
  </si>
  <si>
    <t>اسم الموظف مستلم البيان وتوقيعه</t>
  </si>
  <si>
    <t>ملاحظة :</t>
  </si>
  <si>
    <t xml:space="preserve">أفهم المكلف بضرورة إحضار : </t>
  </si>
  <si>
    <t>خاتم الدوائر المالية</t>
  </si>
  <si>
    <t>- 2 -</t>
  </si>
  <si>
    <t>مخصص لاستخدام موظفي الإدارة الضريبية</t>
  </si>
  <si>
    <t>- 22 -</t>
  </si>
  <si>
    <t>ملاحظات لملء البيان الضريبي</t>
  </si>
  <si>
    <t>1. من هم الملزمون بتقديم البيان ؟</t>
  </si>
  <si>
    <t>2. متى يقدم البيان ؟</t>
  </si>
  <si>
    <t>يترتب على المكلفين أن يقدموا بيان بنتائج أعمالهم الصافية من ربح أو خسارة خلال السنة السابقة في المواعيد التالية:</t>
  </si>
  <si>
    <r>
      <rPr>
        <sz val="11"/>
        <color theme="1"/>
        <rFont val="Wingdings 2"/>
        <family val="1"/>
        <charset val="2"/>
      </rPr>
      <t>P</t>
    </r>
    <r>
      <rPr>
        <sz val="11"/>
        <color theme="1"/>
        <rFont val="Arial"/>
        <family val="2"/>
      </rPr>
      <t xml:space="preserve"> لغاية 31أيار من كل سنة للشركات المساهمة وذات المسؤولية المحدودة والمؤسسات العامة والشركات العامة والمنشآت العامة ومكلفي قسم كبار المكلفين</t>
    </r>
  </si>
  <si>
    <r>
      <rPr>
        <sz val="11"/>
        <color theme="1"/>
        <rFont val="Wingdings 2"/>
        <family val="1"/>
        <charset val="2"/>
      </rPr>
      <t>P</t>
    </r>
    <r>
      <rPr>
        <sz val="11"/>
        <color theme="1"/>
        <rFont val="Arial"/>
        <family val="2"/>
      </rPr>
      <t xml:space="preserve"> لغاية 31 آذار من كل سنة لسائر المكلفين الآخرين  .</t>
    </r>
  </si>
  <si>
    <r>
      <rPr>
        <sz val="11"/>
        <color theme="1"/>
        <rFont val="Wingdings 2"/>
        <family val="1"/>
        <charset val="2"/>
      </rPr>
      <t>P</t>
    </r>
    <r>
      <rPr>
        <sz val="11"/>
        <color theme="1"/>
        <rFont val="Arial"/>
        <family val="2"/>
      </rPr>
      <t xml:space="preserve"> يجوز لوزير المالية في حالات استثنائية يعود تقديرها إليه أن يمنح مهلة إضافية لا تتجاوز ستين يوماً .</t>
    </r>
  </si>
  <si>
    <t>3. لمن يقدم البيان ؟</t>
  </si>
  <si>
    <t>يقدم إلى شباك النافذة الواحدة أو أقسام الدخل ودوائر خدمات أقسام كبار ومتوسطي المكلفين في الدوائر المالية المختصة.</t>
  </si>
  <si>
    <t>4. متى يتم سداد الضريبة المستحقة بموجب البيان الضريبي؟</t>
  </si>
  <si>
    <t>خلال مدة أقصاها ثلاثون يوماً تلي تاريخ انتهاء مهلة تقديم البيان.</t>
  </si>
  <si>
    <t>5. ما هي الأرباح الخاضعة للضريبة ؟</t>
  </si>
  <si>
    <t>تطرح الضريبة على أساس الربح الصافي المتحقق خلال سنة الأعمال و الذي يتألف من مجموع الإيرادات الإجمالية لأعمال المكلف الخاضعة لهذه الضريبة على اختلاف أنواعها بعد أن تحسم منها الأعباء والنفقات التي تقتضيها ممارسة هذه الأعمال أو التي تلازم نوع العمل، وبذلك نكون قد توصلنا إلى الربح المحاسبي وبموجب قائمة التعديل الضريبي يتم التوصل إلى الأرباح الخاضعة للضريبة.</t>
  </si>
  <si>
    <t>6. ما هي المصروفات التي تخصم من إجمالي الأرباح للتوصل لصافي الربح ؟</t>
  </si>
  <si>
    <t>الأعباء والنفقات القابلة للتنزيل وهي على سبيل المثال لا الحصر :</t>
  </si>
  <si>
    <t>3- المدفوع لقاء حصة رب العمل في التأمينات الاجتماعية.</t>
  </si>
  <si>
    <t>النوع / تاريخ الشراء / قيمة الشراء / معدل الاستهلاك / قسط الاستهلاك السنوي / الاستهلاكات المتراكمة.</t>
  </si>
  <si>
    <t>كمصروف الكهرباء للشهرين الأخيرين من العام وما شابه ذلك.</t>
  </si>
  <si>
    <t>- 19 -</t>
  </si>
  <si>
    <r>
      <rPr>
        <sz val="11"/>
        <color theme="1"/>
        <rFont val="PT Bold Heading"/>
        <charset val="178"/>
      </rPr>
      <t>المادة ( 1 ) :</t>
    </r>
    <r>
      <rPr>
        <sz val="11"/>
        <color theme="1"/>
        <rFont val="Arial"/>
        <family val="2"/>
      </rPr>
      <t xml:space="preserve">  تعتبر من النفقات الشخصية التي يجوز تنزيلها من الأرباح غير الصافية السنوية للمكلفين الصناعيين النفقات والمصاريف التالية:</t>
    </r>
  </si>
  <si>
    <t>1.  نفقات تدريب عناصر من المتعطلين عن العمل من أجل إكسابهم مهارات خاصة تؤهلهم دخول سوق العمل السورية.</t>
  </si>
  <si>
    <t>2.  نفقات البحث العلمي الخاصة بمنشآته أو نفقات البحوث التي تقوم بها الجامعات أو مراكز الأبحاث لصالح قطاع ما يستفيد منه هو وغيره سواء كان التمويل كلياً أو جزئياً.</t>
  </si>
  <si>
    <t>4. نفقات المشاركة بالمؤتمرات والمعارض الداخلية والخارجية ذات الصلة بالعمل.</t>
  </si>
  <si>
    <t>5.  نفقات دورات التدريب والتأهيل للعاملين لدى المنشأة.</t>
  </si>
  <si>
    <t>6.  النفقات المصروفة على رعاية المراكز التي تعنى بالمعوقين ودور الأيتام بما فيها إقامة مراكز جديدة لهم أو المساهمة في إقامتها.</t>
  </si>
  <si>
    <t>7.  نفقات شراء وتركيب أجهزة توفير الطاقة بما فيها إقامة محطات التوليد بواسطة الطاقة البديلة المقدمة لصالح إحدى الجهات العامة.</t>
  </si>
  <si>
    <t>8. نفقات شراء وتركيب أجهزة لمنع التلوث البيئي في المنطقة أو التبرع لشراء أجهزة قياس التلوث في الماء والهواء لصالح إحدى الجهات العامة.</t>
  </si>
  <si>
    <t>9.  النفقات المصروفة على حملات التشجير في المناطق المجاورة للمنشأة أو المؤدية إليها أو في أي منطقة أخرى.</t>
  </si>
  <si>
    <t>10. النفقات المصروفة على النشاطات الثقافية الهادفة دعماً للثقافة.</t>
  </si>
  <si>
    <r>
      <rPr>
        <sz val="11"/>
        <color theme="1"/>
        <rFont val="PT Bold Heading"/>
        <charset val="178"/>
      </rPr>
      <t>المادة ( 2 ) :</t>
    </r>
    <r>
      <rPr>
        <sz val="11"/>
        <color theme="1"/>
        <rFont val="Arial"/>
        <family val="2"/>
      </rPr>
      <t xml:space="preserve"> يقبل مجموع النفقات الشخصية المشار إليها في المادة /1/ السابقة بنسبة لا تتجاوز 7% من مجموع الأرباح الصافية المصرح عنها شريطة أن تكون موثقة من الجهات ذات العلاقة .</t>
    </r>
  </si>
  <si>
    <t>الأعباء والنفقات غير القابلة للتنزيل من الأرباح الإجمالية تنطوي بصورة خاصة على سبيل المثال لا الحصر :</t>
  </si>
  <si>
    <t>3.  نفقات المساهمة في تحسين المرافق العامة ( إقامة مركز صحي وتقديم أجهزة طبية – بناء مدارس وروضات وتسليمها إلى وزارة التربية – المساهمة في تمويل مشاريع تنموية تقبل بها الدولة ).</t>
  </si>
  <si>
    <t>أ‌- النفقات الرأسمالية التي تؤدي إلى زيادة قيمة الموجودات الثابتة.</t>
  </si>
  <si>
    <t>مثال ذلك النفقات التي تؤدي إلى تحسين الموجودات وبالتالي إلى زيادة الإنتاج أورفع من قيمة الموجودات ما لم تكن من نفقات الصيانة حيث تعتبر عندها من النفقات الجارية المقبولة .</t>
  </si>
  <si>
    <t>ب‌- النفقات الشخصية أو المبالغ التي يحسبها رب العمل أو شريكه أجرة له عن إدارة العمل.</t>
  </si>
  <si>
    <t>ت‌- المبالغ التي يحسبها الشركاء في شركات التضامن أو الشركاء المسؤولون بدون حد في شركة التوصية البسيطة أجرة لهم عن إدارة العمل.</t>
  </si>
  <si>
    <t>وهنا لا بد من الإشارة إلى أن أجرة الشريك الموصي نتيجة ممارسته لأعمال فنية فهي مقبولة كعبء على الأرباح الإجمالية.</t>
  </si>
  <si>
    <t>إن المبالغ الاحتياطية التي لم تستعمل كلها أو بعضها للغاية التي خصصت لها أو التي لم يعد من موجب لبقائها في سنة لاحقة تضاف إلى أرباح السنة المذكورة مثال ذلك : جرى اقتطاع احتياطي أو مؤونة في عام 2003 ثم تبين خلال تدقيق القيود لعام 2005 عدم استعمالها ولم يعد من موجب لبقائها تضاف إلى أرباح 2005.</t>
  </si>
  <si>
    <t>- 20 -</t>
  </si>
  <si>
    <t>8. ماذا يقصد بالخسائر المدورة ؟</t>
  </si>
  <si>
    <t>إذا وقع عجز في إحدى السنين يمكن اعتباره عبئا على السنة التالية وتنزيله من الربح المحقق خلال هذه السنة وإذا لم يكف هذا الربح لتغطية العجز بكامله يطرح الباقي من الأرباح التي تتحقق خلال السنة الثانية التي تلي سنة وقوع العجز وإذا بقي شيء أيضا يمكن نقله إلى السنة الثالثة وهكذا دواليك حتى السنة الخامسة التي تلي سنة وقوع العجز بشرط :</t>
  </si>
  <si>
    <r>
      <rPr>
        <sz val="11"/>
        <color theme="1"/>
        <rFont val="Wingdings 2"/>
        <family val="1"/>
        <charset val="2"/>
      </rPr>
      <t>P</t>
    </r>
    <r>
      <rPr>
        <sz val="11"/>
        <color theme="1"/>
        <rFont val="Arial"/>
        <family val="2"/>
      </rPr>
      <t xml:space="preserve"> ألا يكون هذا العجز قد نُزِّل من رأس المال أو من الحسابات الجارية.</t>
    </r>
  </si>
  <si>
    <r>
      <rPr>
        <sz val="11"/>
        <color theme="1"/>
        <rFont val="Wingdings 2"/>
        <family val="1"/>
        <charset val="2"/>
      </rPr>
      <t>P</t>
    </r>
    <r>
      <rPr>
        <sz val="11"/>
        <color theme="1"/>
        <rFont val="Arial"/>
        <family val="2"/>
      </rPr>
      <t xml:space="preserve"> أن تكون هناك وحدة في المنشأة فإذا اندمجت مع غيرها أو غيرت شكلها وأدى هذا إلى زوال الشخصية الحقوقية للمنشأة أو إنشاء منشأة جديدة ذات شخصية حكمية متميزة عن الشخصية السابقة فلا مجال لقبول نقل العجز.</t>
    </r>
  </si>
  <si>
    <r>
      <rPr>
        <sz val="11"/>
        <color theme="1"/>
        <rFont val="Wingdings 2"/>
        <family val="1"/>
        <charset val="2"/>
      </rPr>
      <t>P</t>
    </r>
    <r>
      <rPr>
        <sz val="11"/>
        <color theme="1"/>
        <rFont val="Arial"/>
        <family val="2"/>
      </rPr>
      <t xml:space="preserve"> أن يكون للمنشأة قيود نظامية لها قوة الإثبات. </t>
    </r>
  </si>
  <si>
    <r>
      <rPr>
        <sz val="11"/>
        <color theme="1"/>
        <rFont val="Wingdings 2"/>
        <family val="1"/>
        <charset val="2"/>
      </rPr>
      <t>P</t>
    </r>
    <r>
      <rPr>
        <sz val="11"/>
        <color theme="1"/>
        <rFont val="Arial"/>
        <family val="2"/>
      </rPr>
      <t xml:space="preserve"> انتقال ملكية المنشأة إلى الورثة وفي هذه الحالة لا يستفيدون من نقل العجز لأنهم مالكون جدد ذو  ذمة مستقلة عن ذمة مورثهم.</t>
    </r>
  </si>
  <si>
    <t>9. ما هي عقوبة تأخير تقديم البيان ؟</t>
  </si>
  <si>
    <t>إذا لم  يقدم المكلف الخاضع للضريبة ضمن المهل المحددة البيان الضريبي يبلغ إنذاراً بالامتثال لأحكام قانون الدخل فإن لم يمتثل لذلك خلال خمسة عشر يوماً من تاريخ تبلغه الإنذار تضاف إلى الضريبة المترتبة عليه غرامة قدرها 20% منها لعدم تقديم البيان تخفض هذه الغرامة إلى 10% إذا امتثل المكلف للإنذار أو في حال تقديم البيان بعد المدة القانونية قبل تبليغه الإنذار.</t>
  </si>
  <si>
    <t>- 21 -</t>
  </si>
  <si>
    <t>10.  ما هي عقوبة تقديم بيان غير صحيح ؟</t>
  </si>
  <si>
    <t>إذا ثبت للدوائر المالية عدم شمول البيان لبعض نشاطات المكلف فتقدر أرباحه بصورة مباشرة ويغرم في هذه الحالة بغرامة تعادل مثلي فرق الضريبة المترتبة على الربح المكتوم وإذا أبرز المكلف تأييداً لبيانه دفاتر محاسبية تضمنت معلومات ثبت عدم صحتها واستعمل في تنظيمها أساليب احتيالية بغية التهرب من الضريبة كلاً أو بعضاً فإنه إضافة إلى الغرامة يحال المكلف المخالف إلى القضاء بقرار من وزير المالية ويعاقب بالحبس لمدة شهر واحد ويحرم من إجازات التصدير والاستيراد وتجمد عضويته في غرف التجارة والصناعة والزراعة لمدة سنة واحدة تلي اكتساب الحكم الدرجة القطعية وتضاعف العقوبة في حال تكرار المخالفة.</t>
  </si>
  <si>
    <t>معلومـــات خاصــــة بالبيـــان :</t>
  </si>
  <si>
    <t> جدول بأسماء الزبائن والموردين استناداً لأحكام القرار 1462/و تاريخ 11/ 5 / 2006 م.</t>
  </si>
  <si>
    <t>لعام :</t>
  </si>
  <si>
    <t>أرباح (خسارة) السنة الجارية</t>
  </si>
  <si>
    <r>
      <t>*</t>
    </r>
    <r>
      <rPr>
        <sz val="11"/>
        <color theme="1"/>
        <rFont val="Arial"/>
        <family val="2"/>
      </rPr>
      <t>يسجل في هذا الحساب خسائر دورة مالية أو أكثر من دورة.</t>
    </r>
  </si>
  <si>
    <r>
      <t> </t>
    </r>
    <r>
      <rPr>
        <b/>
        <sz val="11"/>
        <color rgb="FF000000"/>
        <rFont val="Arial"/>
        <family val="2"/>
      </rPr>
      <t xml:space="preserve">صافي تكلفة الصنع </t>
    </r>
    <r>
      <rPr>
        <b/>
        <sz val="10"/>
        <color rgb="FF000000"/>
        <rFont val="Arial"/>
        <family val="2"/>
      </rPr>
      <t>(33-46- 47 -48)</t>
    </r>
  </si>
  <si>
    <r>
      <t xml:space="preserve">إجمالي إيرادات الأنشطة الموحدة </t>
    </r>
    <r>
      <rPr>
        <b/>
        <sz val="10"/>
        <color rgb="FF000000"/>
        <rFont val="Arial"/>
        <family val="2"/>
      </rPr>
      <t>(411+412+413)</t>
    </r>
  </si>
  <si>
    <r>
      <t>تكلفة الإنتاج المباع خلال العام * = (36)</t>
    </r>
    <r>
      <rPr>
        <sz val="10"/>
        <color rgb="FF000000"/>
        <rFont val="Arial"/>
        <family val="2"/>
      </rPr>
      <t xml:space="preserve"> </t>
    </r>
  </si>
  <si>
    <t>* كما وردت في قائمة التشغيل .</t>
  </si>
  <si>
    <t>أعباء اهتلاك الموجودات الثابتة *</t>
  </si>
  <si>
    <t>* ينقل من جدول استهلاك الموجودات الثابتة</t>
  </si>
  <si>
    <t>6- الضرائب والرسوم المترتبة في الجمهورية العربية السورية على المكلف والمدفوعة خلال السنة التي تحققت فيها الأرباح ما عدا ضريبة الأرباح الصافية المفروضة بموجب أحكام القانون رقم ( 24 ) لعام 2003 م وتعديلاته.</t>
  </si>
  <si>
    <t xml:space="preserve">1- بدلات إيجار المحلات المعدة لممارسة العمل أو قيمتها التأجيرية /الريع المالي/ إذا كان ملكاً للمكلف أي على أساس البدلات أو القيم المستند إليها في طرح ضريبة ريع العقارات المبنية </t>
  </si>
  <si>
    <t>2- الرواتب والأجور والحوافز التي تدفع للمستخدمين والعمال بدلاً عن خدماتهم.</t>
  </si>
  <si>
    <t>4- المخصص المدخر لدفع تعويض التسريح أو مكافأة نهاية الخدمة أو تعويضات الطوارئ وفقاً لقانون العمل.</t>
  </si>
  <si>
    <t xml:space="preserve">5- الاستهلاكات المقبولة بصورة عامة تبعاً للقواعد الفنية في كل نوع من أنواع الصناعة والتجارة والمهن والحرف ما عدا استهلاك العقارات بشرط تقديم جدول مفصل بمفرداتها يتضمن : </t>
  </si>
  <si>
    <t xml:space="preserve">وتقبل أيضاً المخصصات التي تمثل عبئاً حقيقياً ومحدداً. والمقصود بها المبالغ التي تمثل نفقات مترتبة لكنها لم تسدد في سنة الأعمال. </t>
  </si>
  <si>
    <t>7- التبرعات المدفوعة من قبل المكلفين مقابل وصولات رسمية لجهات عامة أو خاصة معترف بها رسمياً بأنها ذات نفع عام شريطة أن تكون الجهتان المتبرعة والمتبرع لها تمسكان قيوداً ودفاتر نظامية مقبولة من قبل دوائر ضريبة الدخل وبما لا تتجاوز 3% من الأرباح الصافية.</t>
  </si>
  <si>
    <r>
      <rPr>
        <sz val="11"/>
        <color theme="1"/>
        <rFont val="Wingdings 2"/>
        <family val="1"/>
        <charset val="2"/>
      </rPr>
      <t>P</t>
    </r>
    <r>
      <rPr>
        <sz val="11"/>
        <color theme="1"/>
        <rFont val="Arial"/>
        <family val="2"/>
      </rPr>
      <t xml:space="preserve"> أن يكون العجز واقعاً على عاتق المنشأة.</t>
    </r>
  </si>
  <si>
    <t>11.  ما هي عقوبة عدم تقديم بيان  و عدم  إبراز قيود ووثائق ومستندات؟</t>
  </si>
  <si>
    <t>8- المصاريف والنفقات الشخصية الموثقة ذات الصلة المباشرة بالعمل الصناعي و المحددة بموجب أحكام قرار مجلس الوزراء رقم 18 /م . و لعام 2009:</t>
  </si>
  <si>
    <t>2 - إذا لم یبرز المكلف القیود المحاسبیة المنصوص علیھا في المادة/ ٦/ من ھذا القانون أو رفض تقدیم المستندات والوثائق المنصوص علیھا في المواد/ ١٤ / و/ ١٥ / و/ ٢٣ / منه یبلغ إنذارا بالامتثال لأحكام القانون فان لم یمتثل لذلك خلال / ١٥ / یوما من تاریخ تبلیغه الإنذار المذكور على ان یتم إثبات الامتثال بكتاب خطى یسجل لدى الدوائر المالیة خلال المھلة المحددة یشعر به استعداده لإبراز القیود .
تقدر الدوائر المالیة أرباحه مباشرة وفقا لفعالیاته ونشاطاته والمعلومات الأخرى المتوافرة لدى الدوائر المالیة وبصورة لا تقل عن ضعف أعلى رقم سنوي للأرباح كلف بھا خلال السنوات الخمس الأخیرة وفى ھذه الحالة یتم تغریم المكلف بغرامة تعادل/ ٥٠ / بالمائة من الضریبة المقررة عن سنة التكلیف ولا یجوز الاعتماد في تطبیق ھذه الفقرة على تكلیف تم أساسا على ضعف أعلى رقم سنوي للارباح.</t>
  </si>
  <si>
    <t>1- إذا لم يقدم المكلف الخاضع للضريبة – ضمن المهلة المحددة – البيان المنصوص عليه في المواد (13 و 15 و 23) منه يبلغ إنذار بالامتثال لأحكام القانون فإن لم يمتثل لذلك خلال خمسة عشر يوماً من تاريخ تبليغه الإنذار المذكور تضاف إلى الضريبة المترتبة عليه غرامة قدرها /20 %/ منها لعدم تقديم البيان تخفض إلى /10 %/ إذا امتثل المكلف للإنذار , أو تقدم بالبيان بعد المدة القانونية قبل تبليغه الإنذار .</t>
  </si>
  <si>
    <t xml:space="preserve">تعتبر الإيضاحات جزءً من هذه البيانات المالية وتقرأ معها . </t>
  </si>
  <si>
    <t>رصيد مجمع الاستهلاكات بداية السنة بعد تنزيل استهلاك الأصل المستبعد</t>
  </si>
  <si>
    <t>كافة مكلفي الأرباح الحقيقية عدا المصارف وشركات التأمين وإعادة التأمين .</t>
  </si>
  <si>
    <t xml:space="preserve">البيان الضريبي عن أعمال عام </t>
  </si>
  <si>
    <t>نتيجة العام :</t>
  </si>
  <si>
    <t>ربح</t>
  </si>
  <si>
    <t>خسارة</t>
  </si>
  <si>
    <t>لا ربح ولا خسارة</t>
  </si>
  <si>
    <t>الربح الخاضع للضريبة **  /  الخسارة</t>
  </si>
  <si>
    <t>فقط:</t>
  </si>
  <si>
    <t>متوقف عن النشاط</t>
  </si>
  <si>
    <t>وزارة المالية</t>
  </si>
  <si>
    <t>رقم السجل التجاري / الصناعي / السياحي</t>
  </si>
  <si>
    <t>رقم الهاتف :</t>
  </si>
  <si>
    <t>إعادة الإعمار</t>
  </si>
  <si>
    <t>يضاف طابع مجهود حربي بقيمة 50 ل.س في حال تجاوزت قيمة الإيصال الإجمالية مبلغ 3000 ل.س</t>
  </si>
  <si>
    <t>صافي الأصول طويلة الأجل</t>
  </si>
  <si>
    <t>نفقات التاسيس</t>
  </si>
  <si>
    <t>حماة</t>
  </si>
  <si>
    <t xml:space="preserve">مديرية مالية منطقة </t>
  </si>
  <si>
    <t>استيراد</t>
  </si>
  <si>
    <t>نتقدم /  أتقدم ببيان الأعمال عن عام      202  حيث بلغ رقم العمل السنوي *</t>
  </si>
  <si>
    <r>
      <t xml:space="preserve">قائمة الدخل كما تظهر في    /      /    </t>
    </r>
    <r>
      <rPr>
        <sz val="14"/>
        <color rgb="FF429098"/>
        <rFont val="Calibri"/>
        <family val="2"/>
      </rPr>
      <t xml:space="preserve"> </t>
    </r>
    <r>
      <rPr>
        <sz val="14"/>
        <color rgb="FF429098"/>
        <rFont val="PT Bold Heading"/>
        <charset val="178"/>
      </rPr>
      <t>202</t>
    </r>
  </si>
  <si>
    <t>قائمــــة المركــــز المـــالـــي موقوفة  بتاريخ       /      /   202</t>
  </si>
  <si>
    <t>قائمة التشغيل للنشاط الصناعي كما تظهر في    /      /   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</si>
</sst>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7" x14ac:knownFonts="1">
    <font>
      <sz val="11"/>
      <color theme="1"/>
      <name val="Arial"/>
      <family val="2"/>
      <charset val="178"/>
      <scheme val="minor"/>
    </font>
    <font>
      <sz val="11"/>
      <color theme="1"/>
      <name val="Arial"/>
      <family val="2"/>
      <scheme val="minor"/>
    </font>
    <font>
      <sz val="12"/>
      <color rgb="FF000000"/>
      <name val="Arial"/>
      <family val="2"/>
    </font>
    <font>
      <b/>
      <sz val="12"/>
      <color rgb="FF000000"/>
      <name val="Arial"/>
      <family val="2"/>
    </font>
    <font>
      <sz val="11"/>
      <color rgb="FF000000"/>
      <name val="Arial"/>
      <family val="2"/>
    </font>
    <font>
      <b/>
      <sz val="11"/>
      <color rgb="FF000000"/>
      <name val="Arial"/>
      <family val="2"/>
    </font>
    <font>
      <sz val="14"/>
      <color rgb="FF429098"/>
      <name val="PT Bold Heading"/>
      <charset val="178"/>
    </font>
    <font>
      <sz val="10"/>
      <color rgb="FF000000"/>
      <name val="Arial"/>
      <family val="2"/>
    </font>
    <font>
      <b/>
      <sz val="10"/>
      <color rgb="FF000000"/>
      <name val="Arial"/>
      <family val="2"/>
    </font>
    <font>
      <sz val="11"/>
      <color rgb="FF000000"/>
      <name val="Calibri"/>
      <family val="2"/>
    </font>
    <font>
      <sz val="11"/>
      <color theme="1"/>
      <name val="Arial"/>
      <family val="2"/>
    </font>
    <font>
      <sz val="12"/>
      <color rgb="FF000000"/>
      <name val="Times New Roman"/>
      <family val="1"/>
    </font>
    <font>
      <sz val="13"/>
      <color rgb="FF000000"/>
      <name val="Times New Roman"/>
      <family val="1"/>
    </font>
    <font>
      <b/>
      <sz val="12"/>
      <color rgb="FF000000"/>
      <name val="Times New Roman"/>
      <family val="1"/>
    </font>
    <font>
      <sz val="12"/>
      <color theme="1"/>
      <name val="Times New Roman"/>
      <family val="1"/>
    </font>
    <font>
      <sz val="25"/>
      <color theme="1"/>
      <name val="Simplified Arabic"/>
      <family val="1"/>
    </font>
    <font>
      <sz val="13"/>
      <color rgb="FF000000"/>
      <name val="Arial"/>
      <family val="2"/>
    </font>
    <font>
      <sz val="24"/>
      <color theme="1"/>
      <name val="Simplified Arabic"/>
      <family val="1"/>
    </font>
    <font>
      <sz val="11"/>
      <color rgb="FF000000"/>
      <name val="Times New Roman"/>
      <family val="1"/>
    </font>
    <font>
      <b/>
      <sz val="19"/>
      <color rgb="FF000000"/>
      <name val="Arial"/>
      <family val="2"/>
    </font>
    <font>
      <sz val="14"/>
      <color rgb="FF000000"/>
      <name val="PT Bold Heading"/>
      <charset val="178"/>
    </font>
    <font>
      <sz val="10"/>
      <color rgb="FF000000"/>
      <name val="Calibri"/>
      <family val="2"/>
    </font>
    <font>
      <b/>
      <sz val="11"/>
      <color theme="1"/>
      <name val="Arial"/>
      <family val="2"/>
    </font>
    <font>
      <b/>
      <sz val="13"/>
      <color rgb="FF000000"/>
      <name val="Calibri"/>
      <family val="2"/>
    </font>
    <font>
      <sz val="10"/>
      <color rgb="FF000000"/>
      <name val="Times New Roman"/>
      <family val="1"/>
    </font>
    <font>
      <sz val="10"/>
      <color theme="1"/>
      <name val="Arial"/>
      <family val="2"/>
    </font>
    <font>
      <sz val="14"/>
      <color rgb="FF000000"/>
      <name val="Calibri"/>
      <family val="2"/>
    </font>
    <font>
      <sz val="14"/>
      <color rgb="FFFF0000"/>
      <name val="Arial"/>
      <family val="2"/>
    </font>
    <font>
      <sz val="14"/>
      <color theme="1"/>
      <name val="Arial"/>
      <family val="2"/>
    </font>
    <font>
      <sz val="13"/>
      <color theme="1"/>
      <name val="Arial"/>
      <family val="2"/>
    </font>
    <font>
      <b/>
      <sz val="13"/>
      <color rgb="FF000000"/>
      <name val="Arial"/>
      <family val="2"/>
    </font>
    <font>
      <sz val="14"/>
      <color rgb="FF429098"/>
      <name val="Calibri"/>
      <family val="2"/>
    </font>
    <font>
      <sz val="9"/>
      <color rgb="FF000000"/>
      <name val="Arial"/>
      <family val="2"/>
    </font>
    <font>
      <b/>
      <sz val="9"/>
      <color rgb="FF000000"/>
      <name val="Arial"/>
      <family val="2"/>
    </font>
    <font>
      <sz val="16"/>
      <color theme="8" tint="-0.249977111117893"/>
      <name val="PT Bold Heading"/>
      <charset val="178"/>
    </font>
    <font>
      <sz val="13"/>
      <color theme="8" tint="-0.249977111117893"/>
      <name val="PT Bold Heading"/>
      <charset val="178"/>
    </font>
    <font>
      <b/>
      <sz val="12"/>
      <color theme="1"/>
      <name val="Arial"/>
      <family val="2"/>
      <scheme val="minor"/>
    </font>
    <font>
      <b/>
      <sz val="13"/>
      <color theme="1"/>
      <name val="Arial"/>
      <family val="2"/>
      <scheme val="minor"/>
    </font>
    <font>
      <sz val="13"/>
      <color theme="1"/>
      <name val="PT Bold Heading"/>
      <charset val="178"/>
    </font>
    <font>
      <b/>
      <sz val="13"/>
      <color theme="1"/>
      <name val="Arial"/>
      <family val="2"/>
    </font>
    <font>
      <sz val="12"/>
      <color theme="1"/>
      <name val="Arial"/>
      <family val="2"/>
    </font>
    <font>
      <sz val="12"/>
      <color theme="8" tint="-0.249977111117893"/>
      <name val="PT Bold Heading"/>
      <charset val="178"/>
    </font>
    <font>
      <b/>
      <sz val="11"/>
      <color theme="1"/>
      <name val="Arial"/>
      <family val="2"/>
      <scheme val="minor"/>
    </font>
    <font>
      <sz val="11"/>
      <color theme="1"/>
      <name val="Arial"/>
      <family val="2"/>
      <charset val="178"/>
      <scheme val="minor"/>
    </font>
    <font>
      <sz val="11"/>
      <color theme="8" tint="-0.249977111117893"/>
      <name val="PT Bold Heading"/>
      <charset val="178"/>
    </font>
    <font>
      <sz val="10"/>
      <color theme="1"/>
      <name val="Wingdings 2"/>
      <family val="1"/>
      <charset val="2"/>
    </font>
    <font>
      <sz val="7"/>
      <color theme="1"/>
      <name val="Times New Roman"/>
      <family val="1"/>
    </font>
    <font>
      <sz val="9.5"/>
      <color theme="1"/>
      <name val="Arial"/>
      <family val="2"/>
    </font>
    <font>
      <sz val="11"/>
      <color theme="1"/>
      <name val="Wingdings"/>
      <charset val="2"/>
    </font>
    <font>
      <sz val="11"/>
      <color theme="1"/>
      <name val="PT Bold Heading"/>
      <charset val="178"/>
    </font>
    <font>
      <b/>
      <sz val="12"/>
      <color theme="1"/>
      <name val="Arial"/>
      <family val="2"/>
    </font>
    <font>
      <b/>
      <sz val="22"/>
      <color rgb="FF2699B0"/>
      <name val="DecoType Naskh Special"/>
      <charset val="178"/>
    </font>
    <font>
      <sz val="19"/>
      <color rgb="FF31849B"/>
      <name val="PT Bold Heading"/>
      <charset val="178"/>
    </font>
    <font>
      <sz val="11"/>
      <color theme="1"/>
      <name val="Wingdings 2"/>
      <family val="1"/>
      <charset val="2"/>
    </font>
    <font>
      <sz val="16"/>
      <color theme="8" tint="-0.249977111117893"/>
      <name val="DecoType Naskh Variants"/>
      <charset val="178"/>
    </font>
    <font>
      <b/>
      <u/>
      <sz val="11"/>
      <color theme="4" tint="-0.249977111117893"/>
      <name val="Arial"/>
      <family val="2"/>
    </font>
    <font>
      <b/>
      <sz val="11"/>
      <color theme="4" tint="-0.249977111117893"/>
      <name val="Arial"/>
      <family val="2"/>
    </font>
    <font>
      <sz val="14"/>
      <color theme="4" tint="-0.249977111117893"/>
      <name val="DecoType Naskh Variants"/>
      <charset val="178"/>
    </font>
    <font>
      <sz val="11"/>
      <color theme="4" tint="-0.249977111117893"/>
      <name val="PT Bold Heading"/>
      <charset val="178"/>
    </font>
    <font>
      <b/>
      <sz val="14"/>
      <color theme="1"/>
      <name val="Arial"/>
      <family val="2"/>
    </font>
    <font>
      <b/>
      <sz val="11"/>
      <color theme="1"/>
      <name val="Arial"/>
      <family val="2"/>
      <charset val="178"/>
      <scheme val="minor"/>
    </font>
    <font>
      <b/>
      <sz val="10"/>
      <color rgb="FF000000"/>
      <name val="Calibri"/>
      <family val="2"/>
    </font>
    <font>
      <b/>
      <sz val="12"/>
      <color rgb="FF000000"/>
      <name val="Calibri"/>
      <family val="2"/>
    </font>
    <font>
      <b/>
      <sz val="12"/>
      <color rgb="FFFF0000"/>
      <name val="Arial"/>
      <family val="2"/>
      <scheme val="minor"/>
    </font>
    <font>
      <b/>
      <sz val="11"/>
      <color rgb="FF000000"/>
      <name val="Calibri"/>
      <family val="2"/>
    </font>
    <font>
      <b/>
      <sz val="12"/>
      <name val="Calibri"/>
      <family val="2"/>
    </font>
    <font>
      <b/>
      <sz val="12"/>
      <color theme="1"/>
      <name val="Arial"/>
      <family val="2"/>
      <charset val="178"/>
      <scheme val="minor"/>
    </font>
    <font>
      <b/>
      <sz val="9"/>
      <color indexed="81"/>
      <name val="Tahoma"/>
      <family val="2"/>
    </font>
    <font>
      <sz val="14"/>
      <name val="PT Bold Heading"/>
      <charset val="178"/>
    </font>
    <font>
      <b/>
      <sz val="14"/>
      <color rgb="FFFF0000"/>
      <name val="Arial"/>
      <family val="2"/>
    </font>
    <font>
      <b/>
      <sz val="14"/>
      <color theme="1"/>
      <name val="Calibri"/>
      <family val="2"/>
    </font>
    <font>
      <sz val="10"/>
      <color theme="3"/>
      <name val="Calibri"/>
      <family val="2"/>
    </font>
    <font>
      <sz val="12"/>
      <color theme="3"/>
      <name val="Calibri"/>
      <family val="2"/>
    </font>
    <font>
      <sz val="14"/>
      <color theme="3"/>
      <name val="PT Bold Heading"/>
      <charset val="178"/>
    </font>
    <font>
      <b/>
      <sz val="10"/>
      <color theme="0"/>
      <name val="Arial"/>
      <family val="2"/>
    </font>
    <font>
      <sz val="10"/>
      <color theme="0"/>
      <name val="Arial"/>
      <family val="2"/>
    </font>
    <font>
      <b/>
      <sz val="14"/>
      <color indexed="81"/>
      <name val="Times New Roman"/>
      <family val="1"/>
    </font>
  </fonts>
  <fills count="22">
    <fill>
      <patternFill patternType="none"/>
    </fill>
    <fill>
      <patternFill patternType="gray125"/>
    </fill>
    <fill>
      <patternFill patternType="solid">
        <fgColor rgb="FFB6DDE8"/>
        <bgColor indexed="64"/>
      </patternFill>
    </fill>
    <fill>
      <patternFill patternType="solid">
        <fgColor rgb="FFFFFFFF"/>
        <bgColor indexed="64"/>
      </patternFill>
    </fill>
    <fill>
      <patternFill patternType="solid">
        <fgColor rgb="FFD9D9D9"/>
        <bgColor indexed="64"/>
      </patternFill>
    </fill>
    <fill>
      <patternFill patternType="solid">
        <fgColor rgb="FF92CDDC"/>
        <bgColor indexed="64"/>
      </patternFill>
    </fill>
    <fill>
      <patternFill patternType="solid">
        <fgColor theme="8" tint="0.39997558519241921"/>
        <bgColor indexed="64"/>
      </patternFill>
    </fill>
    <fill>
      <patternFill patternType="solid">
        <fgColor theme="4" tint="0.59999389629810485"/>
        <bgColor indexed="65"/>
      </patternFill>
    </fill>
    <fill>
      <patternFill patternType="solid">
        <fgColor rgb="FF8DB4E3"/>
        <bgColor indexed="64"/>
      </patternFill>
    </fill>
    <fill>
      <patternFill patternType="solid">
        <fgColor rgb="FF93CDDD"/>
        <bgColor indexed="64"/>
      </patternFill>
    </fill>
    <fill>
      <patternFill patternType="solid">
        <fgColor theme="3" tint="0.39997558519241921"/>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right/>
      <top/>
      <bottom style="dotted">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dotted">
        <color indexed="64"/>
      </bottom>
      <diagonal/>
    </border>
    <border>
      <left/>
      <right/>
      <top style="medium">
        <color indexed="64"/>
      </top>
      <bottom style="dotted">
        <color indexed="64"/>
      </bottom>
      <diagonal/>
    </border>
    <border>
      <left style="thin">
        <color indexed="64"/>
      </left>
      <right style="medium">
        <color indexed="64"/>
      </right>
      <top style="thin">
        <color indexed="64"/>
      </top>
      <bottom/>
      <diagonal/>
    </border>
    <border>
      <left/>
      <right/>
      <top style="dotted">
        <color indexed="64"/>
      </top>
      <bottom/>
      <diagonal/>
    </border>
    <border>
      <left/>
      <right style="medium">
        <color indexed="64"/>
      </right>
      <top/>
      <bottom style="dotted">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right/>
      <top style="thin">
        <color indexed="64"/>
      </top>
      <bottom style="dotted">
        <color indexed="64"/>
      </bottom>
      <diagonal/>
    </border>
    <border>
      <left/>
      <right style="medium">
        <color indexed="64"/>
      </right>
      <top style="thin">
        <color indexed="64"/>
      </top>
      <bottom style="dotted">
        <color indexed="64"/>
      </bottom>
      <diagonal/>
    </border>
    <border>
      <left style="medium">
        <color indexed="64"/>
      </left>
      <right style="thin">
        <color indexed="64"/>
      </right>
      <top style="medium">
        <color indexed="64"/>
      </top>
      <bottom style="medium">
        <color indexed="64"/>
      </bottom>
      <diagonal/>
    </border>
    <border>
      <left/>
      <right/>
      <top style="dotted">
        <color auto="1"/>
      </top>
      <bottom style="dotted">
        <color auto="1"/>
      </bottom>
      <diagonal/>
    </border>
    <border>
      <left/>
      <right style="medium">
        <color indexed="64"/>
      </right>
      <top style="medium">
        <color indexed="64"/>
      </top>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double">
        <color auto="1"/>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style="dotted">
        <color indexed="64"/>
      </bottom>
      <diagonal/>
    </border>
    <border>
      <left/>
      <right style="medium">
        <color indexed="64"/>
      </right>
      <top style="medium">
        <color indexed="64"/>
      </top>
      <bottom style="medium">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right/>
      <top/>
      <bottom style="dotted">
        <color theme="8" tint="-0.24994659260841701"/>
      </bottom>
      <diagonal/>
    </border>
    <border>
      <left/>
      <right/>
      <top style="dotted">
        <color auto="1"/>
      </top>
      <bottom style="thin">
        <color indexed="64"/>
      </bottom>
      <diagonal/>
    </border>
    <border>
      <left/>
      <right style="medium">
        <color indexed="64"/>
      </right>
      <top style="dotted">
        <color auto="1"/>
      </top>
      <bottom style="thin">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43" fillId="7" borderId="0" applyNumberFormat="0" applyBorder="0" applyAlignment="0" applyProtection="0"/>
    <xf numFmtId="0" fontId="1" fillId="0" borderId="0"/>
  </cellStyleXfs>
  <cellXfs count="652">
    <xf numFmtId="0" fontId="0" fillId="0" borderId="0" xfId="0"/>
    <xf numFmtId="0" fontId="0" fillId="0" borderId="0" xfId="0" applyAlignment="1">
      <alignment vertical="center"/>
    </xf>
    <xf numFmtId="0" fontId="4" fillId="2" borderId="1" xfId="0" applyFont="1" applyFill="1" applyBorder="1" applyAlignment="1">
      <alignment horizontal="center" vertical="center" readingOrder="2"/>
    </xf>
    <xf numFmtId="0" fontId="8" fillId="4" borderId="1" xfId="0" applyFont="1" applyFill="1" applyBorder="1" applyAlignment="1">
      <alignment horizontal="right" vertical="center" wrapText="1" readingOrder="2"/>
    </xf>
    <xf numFmtId="0" fontId="7" fillId="4" borderId="1" xfId="0" applyFont="1" applyFill="1" applyBorder="1" applyAlignment="1">
      <alignment horizontal="center" vertical="center" readingOrder="2"/>
    </xf>
    <xf numFmtId="0" fontId="4" fillId="3" borderId="1" xfId="0" applyFont="1" applyFill="1" applyBorder="1" applyAlignment="1">
      <alignment horizontal="center" vertical="center" readingOrder="2"/>
    </xf>
    <xf numFmtId="0" fontId="5" fillId="4" borderId="1" xfId="0" applyFont="1" applyFill="1" applyBorder="1" applyAlignment="1">
      <alignment horizontal="right" vertical="center" wrapText="1" readingOrder="2"/>
    </xf>
    <xf numFmtId="0" fontId="5" fillId="3" borderId="1" xfId="0" applyFont="1" applyFill="1" applyBorder="1" applyAlignment="1">
      <alignment horizontal="right" vertical="center" wrapText="1" readingOrder="2"/>
    </xf>
    <xf numFmtId="0" fontId="7" fillId="3" borderId="1" xfId="0" applyFont="1" applyFill="1" applyBorder="1" applyAlignment="1">
      <alignment horizontal="right" vertical="center" wrapText="1" readingOrder="2"/>
    </xf>
    <xf numFmtId="0" fontId="7" fillId="3" borderId="1" xfId="0" applyFont="1" applyFill="1" applyBorder="1" applyAlignment="1">
      <alignment horizontal="center" vertical="center" readingOrder="2"/>
    </xf>
    <xf numFmtId="0" fontId="0" fillId="0" borderId="0" xfId="0" applyAlignment="1">
      <alignment horizontal="center" vertical="center"/>
    </xf>
    <xf numFmtId="0" fontId="4" fillId="2" borderId="6" xfId="0" applyFont="1" applyFill="1" applyBorder="1" applyAlignment="1">
      <alignment horizontal="center" vertical="center" readingOrder="2"/>
    </xf>
    <xf numFmtId="0" fontId="7" fillId="4" borderId="5" xfId="0" applyFont="1" applyFill="1" applyBorder="1" applyAlignment="1">
      <alignment horizontal="center" vertical="center" wrapText="1" readingOrder="2"/>
    </xf>
    <xf numFmtId="0" fontId="4" fillId="3" borderId="6" xfId="0" applyFont="1" applyFill="1" applyBorder="1" applyAlignment="1">
      <alignment horizontal="center" vertical="center" readingOrder="2"/>
    </xf>
    <xf numFmtId="0" fontId="5" fillId="4" borderId="5" xfId="0" applyFont="1" applyFill="1" applyBorder="1" applyAlignment="1">
      <alignment horizontal="center" vertical="center" wrapText="1" readingOrder="2"/>
    </xf>
    <xf numFmtId="0" fontId="5" fillId="3" borderId="5" xfId="0" applyFont="1" applyFill="1" applyBorder="1" applyAlignment="1">
      <alignment horizontal="center" vertical="center" wrapText="1" readingOrder="2"/>
    </xf>
    <xf numFmtId="0" fontId="7" fillId="3" borderId="5" xfId="0" applyFont="1" applyFill="1" applyBorder="1" applyAlignment="1">
      <alignment horizontal="center" vertical="center" wrapText="1" readingOrder="2"/>
    </xf>
    <xf numFmtId="0" fontId="4" fillId="3" borderId="5" xfId="0" applyFont="1" applyFill="1" applyBorder="1" applyAlignment="1">
      <alignment horizontal="center" vertical="center" wrapText="1" readingOrder="2"/>
    </xf>
    <xf numFmtId="0" fontId="4" fillId="0" borderId="7" xfId="0" applyFont="1" applyBorder="1" applyAlignment="1">
      <alignment horizontal="center" vertical="center" wrapText="1" readingOrder="2"/>
    </xf>
    <xf numFmtId="0" fontId="7" fillId="0" borderId="8" xfId="0" applyFont="1" applyBorder="1" applyAlignment="1">
      <alignment horizontal="right" vertical="center" wrapText="1" readingOrder="2"/>
    </xf>
    <xf numFmtId="0" fontId="7" fillId="0" borderId="8" xfId="0" applyFont="1" applyBorder="1" applyAlignment="1">
      <alignment horizontal="center" vertical="center" readingOrder="2"/>
    </xf>
    <xf numFmtId="0" fontId="4" fillId="3" borderId="8" xfId="0" applyFont="1" applyFill="1" applyBorder="1" applyAlignment="1">
      <alignment horizontal="center" vertical="center" readingOrder="2"/>
    </xf>
    <xf numFmtId="0" fontId="4" fillId="3" borderId="9" xfId="0" applyFont="1" applyFill="1" applyBorder="1" applyAlignment="1">
      <alignment horizontal="center" vertical="center" readingOrder="2"/>
    </xf>
    <xf numFmtId="0" fontId="4" fillId="2" borderId="1" xfId="0" applyFont="1" applyFill="1" applyBorder="1" applyAlignment="1">
      <alignment horizontal="center" readingOrder="2"/>
    </xf>
    <xf numFmtId="0" fontId="7" fillId="0" borderId="1" xfId="0" applyFont="1" applyBorder="1" applyAlignment="1">
      <alignment horizontal="right" wrapText="1" readingOrder="2"/>
    </xf>
    <xf numFmtId="0" fontId="5" fillId="4" borderId="1" xfId="0" applyFont="1" applyFill="1" applyBorder="1" applyAlignment="1">
      <alignment horizontal="right" wrapText="1" readingOrder="2"/>
    </xf>
    <xf numFmtId="0" fontId="7" fillId="3" borderId="1" xfId="0" applyFont="1" applyFill="1" applyBorder="1" applyAlignment="1">
      <alignment horizontal="right" wrapText="1" readingOrder="2"/>
    </xf>
    <xf numFmtId="0" fontId="4" fillId="2" borderId="6" xfId="0" applyFont="1" applyFill="1" applyBorder="1" applyAlignment="1">
      <alignment horizontal="center" readingOrder="2"/>
    </xf>
    <xf numFmtId="0" fontId="4" fillId="0" borderId="5" xfId="0" applyFont="1" applyBorder="1" applyAlignment="1">
      <alignment horizontal="center" wrapText="1" readingOrder="2"/>
    </xf>
    <xf numFmtId="0" fontId="5" fillId="4" borderId="5" xfId="0" applyFont="1" applyFill="1" applyBorder="1" applyAlignment="1">
      <alignment horizontal="center" wrapText="1" readingOrder="2"/>
    </xf>
    <xf numFmtId="0" fontId="4" fillId="3" borderId="5" xfId="0" applyFont="1" applyFill="1" applyBorder="1" applyAlignment="1">
      <alignment horizontal="center" wrapText="1" readingOrder="2"/>
    </xf>
    <xf numFmtId="0" fontId="7" fillId="0" borderId="5" xfId="0" applyFont="1" applyBorder="1" applyAlignment="1">
      <alignment horizontal="center" vertical="center" wrapText="1" readingOrder="2"/>
    </xf>
    <xf numFmtId="0" fontId="1" fillId="0" borderId="1" xfId="0" applyFont="1" applyBorder="1" applyAlignment="1">
      <alignment vertical="center" wrapText="1"/>
    </xf>
    <xf numFmtId="0" fontId="4" fillId="4" borderId="5" xfId="0" applyFont="1" applyFill="1" applyBorder="1" applyAlignment="1">
      <alignment horizontal="center" vertical="center" wrapText="1" readingOrder="2"/>
    </xf>
    <xf numFmtId="0" fontId="1" fillId="3" borderId="5" xfId="0" applyFont="1" applyFill="1" applyBorder="1" applyAlignment="1">
      <alignment vertical="center" wrapText="1"/>
    </xf>
    <xf numFmtId="0" fontId="5" fillId="4" borderId="7" xfId="0" applyFont="1" applyFill="1" applyBorder="1" applyAlignment="1">
      <alignment horizontal="center" vertical="center" wrapText="1" readingOrder="2"/>
    </xf>
    <xf numFmtId="0" fontId="5" fillId="4" borderId="8" xfId="0" applyFont="1" applyFill="1" applyBorder="1" applyAlignment="1">
      <alignment horizontal="right" vertical="center" wrapText="1" readingOrder="2"/>
    </xf>
    <xf numFmtId="0" fontId="5" fillId="4" borderId="8" xfId="0" applyFont="1" applyFill="1" applyBorder="1" applyAlignment="1">
      <alignment horizontal="center" vertical="center" readingOrder="2"/>
    </xf>
    <xf numFmtId="0" fontId="11" fillId="2" borderId="1" xfId="0" applyFont="1" applyFill="1" applyBorder="1" applyAlignment="1">
      <alignment horizontal="center" vertical="center" wrapText="1" readingOrder="2"/>
    </xf>
    <xf numFmtId="0" fontId="15" fillId="0" borderId="0" xfId="0" applyFont="1" applyAlignment="1">
      <alignment horizontal="center" vertical="center" readingOrder="2"/>
    </xf>
    <xf numFmtId="0" fontId="17" fillId="0" borderId="0" xfId="0" applyFont="1" applyAlignment="1">
      <alignment horizontal="center" vertical="center" readingOrder="2"/>
    </xf>
    <xf numFmtId="0" fontId="3" fillId="2" borderId="5" xfId="0" applyFont="1" applyFill="1" applyBorder="1" applyAlignment="1">
      <alignment horizontal="center" vertical="center"/>
    </xf>
    <xf numFmtId="0" fontId="4" fillId="2" borderId="2" xfId="0" applyFont="1" applyFill="1" applyBorder="1" applyAlignment="1">
      <alignment horizontal="center" vertical="center" wrapText="1" readingOrder="2"/>
    </xf>
    <xf numFmtId="0" fontId="3" fillId="0" borderId="5" xfId="0" applyFont="1" applyBorder="1" applyAlignment="1">
      <alignment horizontal="center" vertical="center" wrapText="1" readingOrder="2"/>
    </xf>
    <xf numFmtId="0" fontId="1" fillId="0" borderId="6" xfId="0" applyFont="1" applyBorder="1" applyAlignment="1">
      <alignment vertical="center"/>
    </xf>
    <xf numFmtId="0" fontId="1" fillId="0" borderId="5" xfId="0" applyFont="1" applyBorder="1" applyAlignment="1">
      <alignment horizontal="center" vertical="center" wrapText="1"/>
    </xf>
    <xf numFmtId="0" fontId="3" fillId="4" borderId="5" xfId="0" applyFont="1" applyFill="1" applyBorder="1" applyAlignment="1">
      <alignment horizontal="center" vertical="center" wrapText="1" readingOrder="2"/>
    </xf>
    <xf numFmtId="0" fontId="3" fillId="4" borderId="7" xfId="0" applyFont="1" applyFill="1" applyBorder="1" applyAlignment="1">
      <alignment horizontal="center" vertical="center" wrapText="1"/>
    </xf>
    <xf numFmtId="0" fontId="11" fillId="2" borderId="6" xfId="0" applyFont="1" applyFill="1" applyBorder="1" applyAlignment="1">
      <alignment horizontal="center" vertical="center" wrapText="1" readingOrder="2"/>
    </xf>
    <xf numFmtId="0" fontId="13" fillId="0" borderId="5" xfId="0" applyFont="1" applyBorder="1" applyAlignment="1">
      <alignment horizontal="center" vertical="center" wrapText="1" readingOrder="2"/>
    </xf>
    <xf numFmtId="0" fontId="13" fillId="4" borderId="5" xfId="0" applyFont="1" applyFill="1" applyBorder="1" applyAlignment="1">
      <alignment horizontal="center" vertical="center" wrapText="1" readingOrder="2"/>
    </xf>
    <xf numFmtId="0" fontId="13" fillId="4" borderId="6" xfId="0" applyFont="1" applyFill="1" applyBorder="1" applyAlignment="1">
      <alignment vertical="center" wrapText="1" readingOrder="2"/>
    </xf>
    <xf numFmtId="0" fontId="13" fillId="4" borderId="7" xfId="0" applyFont="1" applyFill="1" applyBorder="1" applyAlignment="1">
      <alignment horizontal="center" vertical="center" wrapText="1" readingOrder="2"/>
    </xf>
    <xf numFmtId="0" fontId="13" fillId="4" borderId="9" xfId="0" applyFont="1" applyFill="1" applyBorder="1" applyAlignment="1">
      <alignment vertical="center" wrapText="1" readingOrder="2"/>
    </xf>
    <xf numFmtId="0" fontId="7" fillId="5" borderId="5" xfId="0" applyFont="1" applyFill="1" applyBorder="1" applyAlignment="1">
      <alignment vertical="center" wrapText="1"/>
    </xf>
    <xf numFmtId="0" fontId="7" fillId="3" borderId="5" xfId="0" applyFont="1" applyFill="1" applyBorder="1" applyAlignment="1">
      <alignment vertical="center" wrapText="1"/>
    </xf>
    <xf numFmtId="0" fontId="25" fillId="3" borderId="5" xfId="0" applyFont="1" applyFill="1" applyBorder="1" applyAlignment="1">
      <alignment vertical="center" wrapText="1"/>
    </xf>
    <xf numFmtId="0" fontId="7" fillId="0" borderId="7" xfId="0" applyFont="1" applyBorder="1" applyAlignment="1">
      <alignment vertical="center" wrapText="1"/>
    </xf>
    <xf numFmtId="0" fontId="7" fillId="0" borderId="5" xfId="0" applyFont="1" applyBorder="1" applyAlignment="1">
      <alignment vertical="center"/>
    </xf>
    <xf numFmtId="0" fontId="7" fillId="0" borderId="5" xfId="0" applyFont="1" applyBorder="1" applyAlignment="1">
      <alignment vertical="center" wrapText="1"/>
    </xf>
    <xf numFmtId="0" fontId="7" fillId="3" borderId="7" xfId="0" applyFont="1" applyFill="1" applyBorder="1" applyAlignment="1">
      <alignment vertical="center" wrapText="1"/>
    </xf>
    <xf numFmtId="0" fontId="8" fillId="5" borderId="5" xfId="0" applyFont="1" applyFill="1" applyBorder="1" applyAlignment="1">
      <alignment vertical="center" wrapText="1" readingOrder="2"/>
    </xf>
    <xf numFmtId="0" fontId="7" fillId="3" borderId="5" xfId="0" applyFont="1" applyFill="1" applyBorder="1" applyAlignment="1">
      <alignment vertical="center" wrapText="1" readingOrder="2"/>
    </xf>
    <xf numFmtId="0" fontId="5" fillId="2" borderId="1" xfId="0" applyFont="1" applyFill="1" applyBorder="1" applyAlignment="1">
      <alignment horizontal="center" vertical="center" readingOrder="2"/>
    </xf>
    <xf numFmtId="0" fontId="23" fillId="0" borderId="1" xfId="0" applyFont="1" applyBorder="1" applyAlignment="1">
      <alignment horizontal="center" vertical="center"/>
    </xf>
    <xf numFmtId="0" fontId="23" fillId="3" borderId="1" xfId="0" applyFont="1" applyFill="1" applyBorder="1" applyAlignment="1">
      <alignment horizontal="center" vertical="center"/>
    </xf>
    <xf numFmtId="0" fontId="9" fillId="3" borderId="1" xfId="0" applyFont="1" applyFill="1" applyBorder="1" applyAlignment="1">
      <alignment horizontal="center" vertical="center"/>
    </xf>
    <xf numFmtId="0" fontId="3" fillId="0" borderId="1" xfId="0" applyFont="1" applyBorder="1" applyAlignment="1">
      <alignment horizontal="center" vertical="center" readingOrder="2"/>
    </xf>
    <xf numFmtId="0" fontId="9" fillId="5" borderId="1" xfId="0" applyFont="1" applyFill="1" applyBorder="1" applyAlignment="1">
      <alignment horizontal="center" vertical="center"/>
    </xf>
    <xf numFmtId="0" fontId="9" fillId="0" borderId="1" xfId="0" applyFont="1" applyBorder="1" applyAlignment="1">
      <alignment horizontal="center" vertical="center"/>
    </xf>
    <xf numFmtId="0" fontId="4" fillId="5" borderId="1" xfId="0" applyFont="1" applyFill="1" applyBorder="1" applyAlignment="1">
      <alignment horizontal="center" vertical="center" readingOrder="2"/>
    </xf>
    <xf numFmtId="0" fontId="23" fillId="5" borderId="1" xfId="0" applyFont="1" applyFill="1" applyBorder="1" applyAlignment="1">
      <alignment horizontal="center" vertical="center"/>
    </xf>
    <xf numFmtId="0" fontId="4" fillId="4" borderId="1" xfId="0" applyFont="1" applyFill="1" applyBorder="1" applyAlignment="1">
      <alignment horizontal="center" vertical="center" readingOrder="2"/>
    </xf>
    <xf numFmtId="0" fontId="4" fillId="0" borderId="1" xfId="0" applyFont="1" applyBorder="1" applyAlignment="1">
      <alignment horizontal="center" vertical="center" readingOrder="2"/>
    </xf>
    <xf numFmtId="0" fontId="26" fillId="0" borderId="8" xfId="0" applyFont="1" applyBorder="1" applyAlignment="1">
      <alignment horizontal="center" vertical="center"/>
    </xf>
    <xf numFmtId="0" fontId="7" fillId="0" borderId="1" xfId="0" applyFont="1" applyBorder="1" applyAlignment="1">
      <alignment horizontal="right" vertical="center" wrapText="1" readingOrder="2"/>
    </xf>
    <xf numFmtId="0" fontId="24" fillId="0" borderId="1" xfId="0" applyFont="1" applyBorder="1" applyAlignment="1">
      <alignment horizontal="right" vertical="center" wrapText="1" readingOrder="2"/>
    </xf>
    <xf numFmtId="0" fontId="7" fillId="0" borderId="1" xfId="0" applyFont="1" applyBorder="1" applyAlignment="1">
      <alignment horizontal="justify" vertical="center" wrapText="1" readingOrder="2"/>
    </xf>
    <xf numFmtId="0" fontId="22" fillId="0" borderId="1" xfId="0" applyFont="1" applyBorder="1" applyAlignment="1">
      <alignment horizontal="right" vertical="center" wrapText="1" readingOrder="2"/>
    </xf>
    <xf numFmtId="0" fontId="7" fillId="0" borderId="1" xfId="0" applyFont="1" applyBorder="1" applyAlignment="1">
      <alignment horizontal="right" vertical="center" wrapText="1"/>
    </xf>
    <xf numFmtId="0" fontId="5" fillId="5" borderId="1" xfId="0" applyFont="1" applyFill="1" applyBorder="1" applyAlignment="1">
      <alignment horizontal="right" vertical="center" wrapText="1" readingOrder="2"/>
    </xf>
    <xf numFmtId="0" fontId="0" fillId="0" borderId="0" xfId="0" applyAlignment="1">
      <alignment vertical="center" wrapText="1"/>
    </xf>
    <xf numFmtId="0" fontId="4" fillId="0" borderId="1" xfId="0" applyFont="1" applyBorder="1" applyAlignment="1">
      <alignment horizontal="right" vertical="center" wrapText="1" readingOrder="2"/>
    </xf>
    <xf numFmtId="0" fontId="8" fillId="0" borderId="1" xfId="0" applyFont="1" applyBorder="1" applyAlignment="1">
      <alignment horizontal="right" vertical="center" wrapText="1" readingOrder="2"/>
    </xf>
    <xf numFmtId="0" fontId="25" fillId="0" borderId="1" xfId="0" applyFont="1" applyBorder="1" applyAlignment="1">
      <alignment horizontal="right" vertical="center" wrapText="1" readingOrder="2"/>
    </xf>
    <xf numFmtId="0" fontId="22" fillId="5" borderId="1" xfId="0" applyFont="1" applyFill="1" applyBorder="1" applyAlignment="1">
      <alignment horizontal="right" vertical="center" wrapText="1" readingOrder="2"/>
    </xf>
    <xf numFmtId="0" fontId="8" fillId="5" borderId="1" xfId="0" applyFont="1" applyFill="1" applyBorder="1" applyAlignment="1">
      <alignment horizontal="right" vertical="center" wrapText="1" readingOrder="2"/>
    </xf>
    <xf numFmtId="0" fontId="21" fillId="0" borderId="1" xfId="0" applyFont="1" applyBorder="1" applyAlignment="1">
      <alignment horizontal="right" vertical="center" wrapText="1"/>
    </xf>
    <xf numFmtId="0" fontId="23" fillId="4" borderId="1" xfId="0" applyFont="1" applyFill="1" applyBorder="1" applyAlignment="1">
      <alignment horizontal="center" vertical="center"/>
    </xf>
    <xf numFmtId="0" fontId="7" fillId="3" borderId="1" xfId="0" applyFont="1" applyFill="1" applyBorder="1" applyAlignment="1">
      <alignment vertical="center" readingOrder="2"/>
    </xf>
    <xf numFmtId="0" fontId="7" fillId="0" borderId="1" xfId="0" applyFont="1" applyBorder="1" applyAlignment="1">
      <alignment vertical="center" readingOrder="2"/>
    </xf>
    <xf numFmtId="0" fontId="5" fillId="4" borderId="1" xfId="0" applyFont="1" applyFill="1" applyBorder="1" applyAlignment="1">
      <alignment vertical="center" readingOrder="2"/>
    </xf>
    <xf numFmtId="0" fontId="16" fillId="4" borderId="1" xfId="0" applyFont="1" applyFill="1" applyBorder="1" applyAlignment="1">
      <alignment vertical="center" wrapText="1" readingOrder="2"/>
    </xf>
    <xf numFmtId="0" fontId="1" fillId="3" borderId="1" xfId="0" applyFont="1" applyFill="1" applyBorder="1" applyAlignment="1">
      <alignment horizontal="center" vertical="center"/>
    </xf>
    <xf numFmtId="0" fontId="1" fillId="0" borderId="1" xfId="0" applyFont="1" applyBorder="1" applyAlignment="1">
      <alignment horizontal="center" vertical="center"/>
    </xf>
    <xf numFmtId="0" fontId="4" fillId="0" borderId="1" xfId="0" applyFont="1" applyBorder="1" applyAlignment="1">
      <alignment horizontal="right" vertical="center" wrapText="1"/>
    </xf>
    <xf numFmtId="0" fontId="10" fillId="0" borderId="1" xfId="0" applyFont="1" applyBorder="1" applyAlignment="1">
      <alignment horizontal="right" vertical="center" wrapText="1" readingOrder="2"/>
    </xf>
    <xf numFmtId="0" fontId="5" fillId="4" borderId="14" xfId="0" applyFont="1" applyFill="1" applyBorder="1" applyAlignment="1">
      <alignment horizontal="right" vertical="center" wrapText="1" readingOrder="2"/>
    </xf>
    <xf numFmtId="0" fontId="8" fillId="4" borderId="15" xfId="0" applyFont="1" applyFill="1" applyBorder="1" applyAlignment="1">
      <alignment horizontal="right" vertical="center" wrapText="1" readingOrder="2"/>
    </xf>
    <xf numFmtId="0" fontId="5" fillId="4" borderId="14" xfId="0" applyFont="1" applyFill="1" applyBorder="1" applyAlignment="1">
      <alignment horizontal="right" vertical="center" readingOrder="2"/>
    </xf>
    <xf numFmtId="0" fontId="3" fillId="0" borderId="1" xfId="0" applyFont="1" applyBorder="1" applyAlignment="1">
      <alignment horizontal="right" vertical="center" wrapText="1" readingOrder="2"/>
    </xf>
    <xf numFmtId="0" fontId="8" fillId="0" borderId="5" xfId="0" applyFont="1" applyBorder="1" applyAlignment="1">
      <alignment vertical="center" wrapText="1" readingOrder="2"/>
    </xf>
    <xf numFmtId="0" fontId="8" fillId="0" borderId="5" xfId="0" applyFont="1" applyBorder="1" applyAlignment="1">
      <alignment vertical="center" wrapText="1"/>
    </xf>
    <xf numFmtId="0" fontId="5" fillId="2" borderId="6" xfId="0" applyFont="1" applyFill="1" applyBorder="1" applyAlignment="1">
      <alignment horizontal="center" vertical="center" readingOrder="2"/>
    </xf>
    <xf numFmtId="0" fontId="8" fillId="4" borderId="5" xfId="0" applyFont="1" applyFill="1" applyBorder="1" applyAlignment="1">
      <alignment vertical="center" wrapText="1" readingOrder="2"/>
    </xf>
    <xf numFmtId="0" fontId="1" fillId="3" borderId="8" xfId="0" applyFont="1" applyFill="1" applyBorder="1" applyAlignment="1">
      <alignment horizontal="center" vertical="center"/>
    </xf>
    <xf numFmtId="0" fontId="7" fillId="0" borderId="5" xfId="0" applyFont="1" applyBorder="1" applyAlignment="1">
      <alignment vertical="center" wrapText="1" readingOrder="2"/>
    </xf>
    <xf numFmtId="0" fontId="8" fillId="4" borderId="16" xfId="0" applyFont="1" applyFill="1" applyBorder="1" applyAlignment="1">
      <alignment horizontal="right" vertical="center" readingOrder="2"/>
    </xf>
    <xf numFmtId="0" fontId="5" fillId="0" borderId="1" xfId="0" applyFont="1" applyBorder="1" applyAlignment="1">
      <alignment horizontal="right" vertical="center" wrapText="1" readingOrder="2"/>
    </xf>
    <xf numFmtId="0" fontId="32" fillId="0" borderId="1" xfId="0" applyFont="1" applyBorder="1" applyAlignment="1">
      <alignment horizontal="right" vertical="center" wrapText="1" readingOrder="2"/>
    </xf>
    <xf numFmtId="0" fontId="32" fillId="0" borderId="8" xfId="0" applyFont="1" applyBorder="1" applyAlignment="1">
      <alignment horizontal="right" vertical="center" wrapText="1" readingOrder="2"/>
    </xf>
    <xf numFmtId="0" fontId="8" fillId="2" borderId="1" xfId="0" applyFont="1" applyFill="1" applyBorder="1" applyAlignment="1">
      <alignment horizontal="center" vertical="center" wrapText="1" readingOrder="2"/>
    </xf>
    <xf numFmtId="0" fontId="33" fillId="2" borderId="1" xfId="0" applyFont="1" applyFill="1" applyBorder="1" applyAlignment="1">
      <alignment horizontal="center" vertical="center" wrapText="1" readingOrder="2"/>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readingOrder="2"/>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8" fillId="2" borderId="2" xfId="0" applyFont="1" applyFill="1" applyBorder="1" applyAlignment="1">
      <alignment horizontal="center" vertical="center" wrapText="1" readingOrder="2"/>
    </xf>
    <xf numFmtId="0" fontId="8" fillId="2" borderId="3" xfId="0" applyFont="1" applyFill="1" applyBorder="1" applyAlignment="1">
      <alignment horizontal="center" vertical="center" wrapText="1" readingOrder="2"/>
    </xf>
    <xf numFmtId="0" fontId="8" fillId="2" borderId="4" xfId="0" applyFont="1" applyFill="1" applyBorder="1" applyAlignment="1">
      <alignment horizontal="center" vertical="center" wrapText="1" readingOrder="2"/>
    </xf>
    <xf numFmtId="0" fontId="7" fillId="0" borderId="8" xfId="0" applyFont="1" applyBorder="1" applyAlignment="1">
      <alignment horizontal="center" vertical="center" wrapText="1"/>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0" fillId="0" borderId="19" xfId="0" applyBorder="1" applyAlignment="1">
      <alignment vertical="center"/>
    </xf>
    <xf numFmtId="0" fontId="0" fillId="0" borderId="23" xfId="0" applyBorder="1" applyAlignment="1">
      <alignment vertical="center"/>
    </xf>
    <xf numFmtId="0" fontId="0" fillId="0" borderId="24" xfId="0" applyBorder="1" applyAlignment="1">
      <alignment vertical="center"/>
    </xf>
    <xf numFmtId="0" fontId="36" fillId="0" borderId="0" xfId="0" applyFont="1" applyAlignment="1">
      <alignment vertical="center"/>
    </xf>
    <xf numFmtId="0" fontId="10" fillId="0" borderId="0" xfId="0" applyFont="1" applyAlignment="1">
      <alignment vertical="center"/>
    </xf>
    <xf numFmtId="0" fontId="10" fillId="0" borderId="0" xfId="0" applyFont="1" applyAlignment="1">
      <alignment vertical="center" readingOrder="2"/>
    </xf>
    <xf numFmtId="0" fontId="10" fillId="0" borderId="0" xfId="0" applyFont="1" applyAlignment="1">
      <alignment horizontal="right" vertical="center" indent="1"/>
    </xf>
    <xf numFmtId="0" fontId="0" fillId="0" borderId="1" xfId="0" applyBorder="1" applyAlignment="1">
      <alignment horizontal="center" vertical="center"/>
    </xf>
    <xf numFmtId="0" fontId="0" fillId="0" borderId="18" xfId="0" applyBorder="1" applyAlignment="1">
      <alignment horizontal="center" vertical="center"/>
    </xf>
    <xf numFmtId="0" fontId="0" fillId="6" borderId="2" xfId="0" applyFill="1" applyBorder="1" applyAlignment="1">
      <alignment horizontal="center" vertical="center"/>
    </xf>
    <xf numFmtId="0" fontId="0" fillId="6" borderId="3" xfId="0" applyFill="1" applyBorder="1" applyAlignment="1">
      <alignment horizontal="center" vertical="center"/>
    </xf>
    <xf numFmtId="0" fontId="0" fillId="0" borderId="0" xfId="0" applyAlignment="1">
      <alignment horizontal="right"/>
    </xf>
    <xf numFmtId="0" fontId="43" fillId="0" borderId="0" xfId="1" applyFill="1"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5" xfId="0" applyBorder="1" applyAlignment="1">
      <alignment horizontal="center" vertical="center"/>
    </xf>
    <xf numFmtId="0" fontId="0" fillId="0" borderId="28" xfId="0" applyBorder="1" applyAlignment="1">
      <alignment horizontal="center" vertical="center"/>
    </xf>
    <xf numFmtId="0" fontId="0" fillId="0" borderId="17" xfId="0" applyBorder="1" applyAlignment="1">
      <alignment horizontal="center" vertical="center"/>
    </xf>
    <xf numFmtId="0" fontId="7" fillId="0" borderId="1" xfId="0" applyFont="1" applyBorder="1" applyAlignment="1">
      <alignment horizontal="center" vertical="center" wrapText="1" readingOrder="2"/>
    </xf>
    <xf numFmtId="0" fontId="0" fillId="0" borderId="28" xfId="0" applyBorder="1" applyAlignment="1">
      <alignment vertical="center"/>
    </xf>
    <xf numFmtId="0" fontId="0" fillId="0" borderId="17" xfId="0" applyBorder="1" applyAlignment="1">
      <alignment vertical="center"/>
    </xf>
    <xf numFmtId="0" fontId="0" fillId="0" borderId="26" xfId="0" applyBorder="1" applyAlignment="1">
      <alignment vertical="center"/>
    </xf>
    <xf numFmtId="0" fontId="10" fillId="0" borderId="0" xfId="0" applyFont="1" applyAlignment="1">
      <alignment horizontal="left" vertical="center"/>
    </xf>
    <xf numFmtId="0" fontId="10" fillId="0" borderId="26" xfId="0" applyFont="1" applyBorder="1" applyAlignment="1">
      <alignment vertical="center"/>
    </xf>
    <xf numFmtId="0" fontId="0" fillId="0" borderId="0" xfId="0" applyAlignment="1">
      <alignment readingOrder="2"/>
    </xf>
    <xf numFmtId="0" fontId="42" fillId="0" borderId="0" xfId="0" applyFont="1" applyAlignment="1">
      <alignment horizontal="center" vertical="top"/>
    </xf>
    <xf numFmtId="0" fontId="0" fillId="0" borderId="0" xfId="0" applyAlignment="1">
      <alignment horizontal="center" vertical="top"/>
    </xf>
    <xf numFmtId="0" fontId="0" fillId="0" borderId="18" xfId="0" applyBorder="1"/>
    <xf numFmtId="0" fontId="0" fillId="0" borderId="48" xfId="0" applyBorder="1"/>
    <xf numFmtId="0" fontId="0" fillId="0" borderId="27" xfId="0" applyBorder="1"/>
    <xf numFmtId="0" fontId="0" fillId="0" borderId="17" xfId="0" applyBorder="1"/>
    <xf numFmtId="0" fontId="0" fillId="0" borderId="29" xfId="0" applyBorder="1"/>
    <xf numFmtId="0" fontId="44" fillId="0" borderId="26" xfId="0" applyFont="1" applyBorder="1" applyAlignment="1">
      <alignment horizontal="right" vertical="center" indent="1"/>
    </xf>
    <xf numFmtId="0" fontId="0" fillId="0" borderId="0" xfId="0" applyAlignment="1">
      <alignment wrapText="1"/>
    </xf>
    <xf numFmtId="0" fontId="10" fillId="0" borderId="0" xfId="0" applyFont="1" applyAlignment="1">
      <alignment horizontal="right" vertical="center" indent="1" readingOrder="2"/>
    </xf>
    <xf numFmtId="0" fontId="10" fillId="0" borderId="17" xfId="0" applyFont="1" applyBorder="1" applyAlignment="1">
      <alignment horizontal="right" vertical="center" indent="1" readingOrder="2"/>
    </xf>
    <xf numFmtId="0" fontId="28" fillId="0" borderId="0" xfId="0" applyFont="1" applyAlignment="1">
      <alignment horizontal="right" vertical="center" indent="1" readingOrder="2"/>
    </xf>
    <xf numFmtId="0" fontId="28" fillId="0" borderId="17" xfId="0" applyFont="1" applyBorder="1" applyAlignment="1">
      <alignment horizontal="right" vertical="center" indent="1" readingOrder="2"/>
    </xf>
    <xf numFmtId="0" fontId="0" fillId="0" borderId="25" xfId="0" applyBorder="1"/>
    <xf numFmtId="0" fontId="2" fillId="2" borderId="1" xfId="0" applyFont="1" applyFill="1" applyBorder="1" applyAlignment="1">
      <alignment horizontal="center" vertical="center" wrapText="1" readingOrder="2"/>
    </xf>
    <xf numFmtId="0" fontId="7" fillId="3" borderId="5" xfId="0" applyFont="1" applyFill="1" applyBorder="1" applyAlignment="1">
      <alignment horizontal="right" vertical="center" wrapText="1" readingOrder="2"/>
    </xf>
    <xf numFmtId="0" fontId="0" fillId="0" borderId="0" xfId="0" applyAlignment="1">
      <alignment horizontal="right" vertical="center" indent="1"/>
    </xf>
    <xf numFmtId="0" fontId="13" fillId="4" borderId="6" xfId="0" applyFont="1" applyFill="1" applyBorder="1" applyAlignment="1">
      <alignment horizontal="right" vertical="center" wrapText="1" readingOrder="2"/>
    </xf>
    <xf numFmtId="0" fontId="13" fillId="4" borderId="9" xfId="0" applyFont="1" applyFill="1" applyBorder="1" applyAlignment="1">
      <alignment horizontal="right" vertical="center" wrapText="1" readingOrder="2"/>
    </xf>
    <xf numFmtId="0" fontId="34" fillId="0" borderId="0" xfId="0" applyFont="1" applyAlignment="1">
      <alignment vertical="center"/>
    </xf>
    <xf numFmtId="0" fontId="1" fillId="4" borderId="1" xfId="0" applyFont="1" applyFill="1" applyBorder="1" applyAlignment="1">
      <alignment horizontal="center" vertical="center"/>
    </xf>
    <xf numFmtId="0" fontId="7" fillId="0" borderId="1" xfId="0" applyFont="1" applyBorder="1" applyAlignment="1">
      <alignment horizontal="center" wrapText="1"/>
    </xf>
    <xf numFmtId="0" fontId="7" fillId="0" borderId="6" xfId="0" applyFont="1" applyBorder="1" applyAlignment="1">
      <alignment horizontal="center" wrapText="1"/>
    </xf>
    <xf numFmtId="0" fontId="7" fillId="8" borderId="9" xfId="0" applyFont="1" applyFill="1" applyBorder="1" applyAlignment="1">
      <alignment horizontal="center" vertical="center" readingOrder="2"/>
    </xf>
    <xf numFmtId="0" fontId="0" fillId="0" borderId="19" xfId="0" applyBorder="1" applyAlignment="1">
      <alignment horizontal="right"/>
    </xf>
    <xf numFmtId="0" fontId="13" fillId="0" borderId="6" xfId="0" applyFont="1" applyBorder="1" applyAlignment="1">
      <alignment horizontal="center" vertical="center" wrapText="1" readingOrder="2"/>
    </xf>
    <xf numFmtId="0" fontId="3" fillId="0" borderId="1" xfId="0" applyFont="1" applyBorder="1" applyAlignment="1">
      <alignment horizontal="center" vertical="center" wrapText="1" readingOrder="2"/>
    </xf>
    <xf numFmtId="0" fontId="1" fillId="3" borderId="6" xfId="0" applyFont="1" applyFill="1" applyBorder="1" applyAlignment="1">
      <alignment horizontal="center" vertical="center"/>
    </xf>
    <xf numFmtId="0" fontId="1" fillId="3" borderId="1" xfId="0" applyFont="1" applyFill="1" applyBorder="1" applyAlignment="1">
      <alignment horizontal="right" vertical="center" wrapText="1"/>
    </xf>
    <xf numFmtId="0" fontId="1" fillId="0" borderId="1" xfId="0" applyFont="1" applyBorder="1" applyAlignment="1">
      <alignment horizontal="right" vertical="center" wrapText="1"/>
    </xf>
    <xf numFmtId="0" fontId="1" fillId="0" borderId="8" xfId="0" applyFont="1" applyBorder="1" applyAlignment="1">
      <alignment horizontal="center" vertical="center"/>
    </xf>
    <xf numFmtId="0" fontId="4" fillId="0" borderId="8" xfId="0" applyFont="1" applyBorder="1" applyAlignment="1">
      <alignment horizontal="center" vertical="center" readingOrder="2"/>
    </xf>
    <xf numFmtId="0" fontId="1" fillId="5" borderId="1" xfId="0" applyFont="1" applyFill="1" applyBorder="1" applyAlignment="1">
      <alignment horizontal="center" vertical="center"/>
    </xf>
    <xf numFmtId="0" fontId="21" fillId="0" borderId="1" xfId="0" applyFont="1" applyBorder="1" applyAlignment="1">
      <alignment horizontal="center" vertical="center"/>
    </xf>
    <xf numFmtId="0" fontId="21" fillId="3" borderId="1" xfId="0" applyFont="1" applyFill="1" applyBorder="1" applyAlignment="1">
      <alignment horizontal="center" vertical="center"/>
    </xf>
    <xf numFmtId="0" fontId="27" fillId="0" borderId="8" xfId="0" applyFont="1" applyBorder="1" applyAlignment="1">
      <alignment horizontal="center" vertical="center" readingOrder="2"/>
    </xf>
    <xf numFmtId="0" fontId="1" fillId="0" borderId="8" xfId="0" applyFont="1" applyBorder="1" applyAlignment="1">
      <alignment horizontal="right" vertical="center" wrapText="1"/>
    </xf>
    <xf numFmtId="0" fontId="23" fillId="0" borderId="6" xfId="0" applyFont="1" applyBorder="1" applyAlignment="1">
      <alignment horizontal="center" vertical="center"/>
    </xf>
    <xf numFmtId="0" fontId="4" fillId="0" borderId="6" xfId="0" applyFont="1" applyBorder="1" applyAlignment="1">
      <alignment horizontal="center" vertical="center" readingOrder="2"/>
    </xf>
    <xf numFmtId="0" fontId="9" fillId="0" borderId="6" xfId="0" applyFont="1" applyBorder="1" applyAlignment="1">
      <alignment horizontal="center" vertical="center"/>
    </xf>
    <xf numFmtId="0" fontId="1" fillId="0" borderId="6" xfId="0" applyFont="1" applyBorder="1" applyAlignment="1">
      <alignment horizontal="center" vertical="center"/>
    </xf>
    <xf numFmtId="0" fontId="3" fillId="0" borderId="6" xfId="0" applyFont="1" applyBorder="1" applyAlignment="1">
      <alignment horizontal="center" vertical="center" readingOrder="2"/>
    </xf>
    <xf numFmtId="0" fontId="1" fillId="0" borderId="9" xfId="0" applyFont="1" applyBorder="1" applyAlignment="1">
      <alignment horizontal="center" vertical="center"/>
    </xf>
    <xf numFmtId="0" fontId="1" fillId="0" borderId="1" xfId="0" applyFont="1" applyBorder="1" applyAlignment="1">
      <alignment horizontal="right" vertical="center"/>
    </xf>
    <xf numFmtId="0" fontId="8" fillId="0" borderId="5" xfId="0" applyFont="1" applyBorder="1" applyAlignment="1">
      <alignment horizontal="center" vertical="center" readingOrder="2"/>
    </xf>
    <xf numFmtId="0" fontId="32" fillId="0" borderId="5" xfId="0" applyFont="1" applyBorder="1" applyAlignment="1">
      <alignment horizontal="center" vertical="center" readingOrder="2"/>
    </xf>
    <xf numFmtId="0" fontId="7" fillId="0" borderId="5" xfId="0" applyFont="1" applyBorder="1" applyAlignment="1">
      <alignment horizontal="center" vertical="center" readingOrder="2"/>
    </xf>
    <xf numFmtId="0" fontId="8" fillId="0" borderId="5" xfId="0" applyFont="1" applyBorder="1" applyAlignment="1">
      <alignment horizontal="center" vertical="center"/>
    </xf>
    <xf numFmtId="0" fontId="7" fillId="0" borderId="7" xfId="0" applyFont="1" applyBorder="1" applyAlignment="1">
      <alignment horizontal="center" vertical="center" readingOrder="2"/>
    </xf>
    <xf numFmtId="0" fontId="7" fillId="0" borderId="5" xfId="0" applyFont="1" applyBorder="1" applyAlignment="1">
      <alignment horizontal="center" vertical="center"/>
    </xf>
    <xf numFmtId="0" fontId="2" fillId="0" borderId="1" xfId="0" applyFont="1" applyBorder="1" applyAlignment="1">
      <alignment horizontal="center" vertical="center" wrapText="1" readingOrder="2"/>
    </xf>
    <xf numFmtId="9" fontId="7" fillId="0" borderId="6" xfId="0" applyNumberFormat="1" applyFont="1" applyBorder="1" applyAlignment="1">
      <alignment horizontal="center" vertical="center" wrapText="1" readingOrder="2"/>
    </xf>
    <xf numFmtId="9" fontId="7" fillId="0" borderId="9" xfId="0" applyNumberFormat="1" applyFont="1" applyBorder="1" applyAlignment="1">
      <alignment horizontal="center" vertical="center" wrapText="1" readingOrder="2"/>
    </xf>
    <xf numFmtId="0" fontId="8" fillId="0" borderId="5" xfId="0" applyFont="1" applyBorder="1" applyAlignment="1">
      <alignment horizontal="right" vertical="center" wrapText="1"/>
    </xf>
    <xf numFmtId="0" fontId="7" fillId="0" borderId="5" xfId="0" applyFont="1" applyBorder="1" applyAlignment="1">
      <alignment horizontal="right" vertical="center" wrapText="1"/>
    </xf>
    <xf numFmtId="0" fontId="7" fillId="0" borderId="7" xfId="0" applyFont="1" applyBorder="1" applyAlignment="1">
      <alignment horizontal="right" vertical="center" wrapText="1"/>
    </xf>
    <xf numFmtId="9" fontId="14" fillId="0" borderId="1" xfId="0" applyNumberFormat="1" applyFont="1" applyBorder="1" applyAlignment="1">
      <alignment horizontal="center" vertical="center" wrapText="1" readingOrder="2"/>
    </xf>
    <xf numFmtId="0" fontId="59" fillId="0" borderId="0" xfId="0" applyFont="1" applyAlignment="1">
      <alignment horizontal="center" vertical="center"/>
    </xf>
    <xf numFmtId="0" fontId="0" fillId="0" borderId="46" xfId="0" applyBorder="1" applyAlignment="1">
      <alignment horizontal="right"/>
    </xf>
    <xf numFmtId="0" fontId="0" fillId="0" borderId="23" xfId="0" applyBorder="1" applyAlignment="1">
      <alignment horizontal="right"/>
    </xf>
    <xf numFmtId="0" fontId="0" fillId="0" borderId="24" xfId="0" applyBorder="1" applyAlignment="1">
      <alignment horizontal="right"/>
    </xf>
    <xf numFmtId="0" fontId="22" fillId="0" borderId="0" xfId="0" applyFont="1" applyAlignment="1">
      <alignment vertical="center"/>
    </xf>
    <xf numFmtId="0" fontId="3" fillId="2" borderId="1" xfId="0" applyFont="1" applyFill="1" applyBorder="1" applyAlignment="1">
      <alignment horizontal="center" vertical="center" wrapText="1" readingOrder="2"/>
    </xf>
    <xf numFmtId="0" fontId="3" fillId="2" borderId="53" xfId="0" applyFont="1" applyFill="1" applyBorder="1" applyAlignment="1">
      <alignment vertical="center" wrapText="1" readingOrder="2"/>
    </xf>
    <xf numFmtId="0" fontId="3" fillId="2" borderId="54" xfId="0" applyFont="1" applyFill="1" applyBorder="1" applyAlignment="1">
      <alignment horizontal="center" vertical="center" wrapText="1" readingOrder="2"/>
    </xf>
    <xf numFmtId="0" fontId="3" fillId="0" borderId="54" xfId="0" applyFont="1" applyBorder="1" applyAlignment="1">
      <alignment horizontal="right" vertical="center" wrapText="1" indent="6" readingOrder="2"/>
    </xf>
    <xf numFmtId="0" fontId="3" fillId="2" borderId="33" xfId="0" applyFont="1" applyFill="1" applyBorder="1" applyAlignment="1">
      <alignment horizontal="center" vertical="center"/>
    </xf>
    <xf numFmtId="0" fontId="19" fillId="2" borderId="14" xfId="0" applyFont="1" applyFill="1" applyBorder="1" applyAlignment="1">
      <alignment horizontal="center" vertical="center" wrapText="1" readingOrder="2"/>
    </xf>
    <xf numFmtId="0" fontId="3" fillId="2" borderId="14" xfId="0" applyFont="1" applyFill="1" applyBorder="1" applyAlignment="1">
      <alignment horizontal="center" vertical="center" wrapText="1" readingOrder="2"/>
    </xf>
    <xf numFmtId="0" fontId="3" fillId="2" borderId="32" xfId="0" applyFont="1" applyFill="1" applyBorder="1" applyAlignment="1">
      <alignment horizontal="right" vertical="center" wrapText="1" indent="6" readingOrder="2"/>
    </xf>
    <xf numFmtId="0" fontId="3" fillId="2" borderId="51" xfId="0" applyFont="1" applyFill="1" applyBorder="1" applyAlignment="1">
      <alignment vertical="center" wrapText="1" readingOrder="2"/>
    </xf>
    <xf numFmtId="0" fontId="3" fillId="2" borderId="52" xfId="0" applyFont="1" applyFill="1" applyBorder="1" applyAlignment="1">
      <alignment vertical="center" wrapText="1" readingOrder="2"/>
    </xf>
    <xf numFmtId="0" fontId="3" fillId="10" borderId="1" xfId="0" applyFont="1" applyFill="1" applyBorder="1" applyAlignment="1">
      <alignment horizontal="right" vertical="center" wrapText="1" readingOrder="2"/>
    </xf>
    <xf numFmtId="0" fontId="3" fillId="13" borderId="1" xfId="0" applyFont="1" applyFill="1" applyBorder="1" applyAlignment="1">
      <alignment horizontal="right" vertical="center" wrapText="1" readingOrder="2"/>
    </xf>
    <xf numFmtId="0" fontId="8" fillId="14" borderId="5" xfId="0" applyFont="1" applyFill="1" applyBorder="1" applyAlignment="1">
      <alignment vertical="center" wrapText="1"/>
    </xf>
    <xf numFmtId="0" fontId="8" fillId="13" borderId="5" xfId="0" applyFont="1" applyFill="1" applyBorder="1" applyAlignment="1">
      <alignment vertical="center" wrapText="1"/>
    </xf>
    <xf numFmtId="0" fontId="61" fillId="13" borderId="1" xfId="0" applyFont="1" applyFill="1" applyBorder="1" applyAlignment="1">
      <alignment horizontal="center" vertical="center"/>
    </xf>
    <xf numFmtId="0" fontId="42" fillId="3" borderId="1" xfId="0" applyFont="1" applyFill="1" applyBorder="1" applyAlignment="1">
      <alignment horizontal="center" vertical="center"/>
    </xf>
    <xf numFmtId="0" fontId="60" fillId="0" borderId="0" xfId="0" applyFont="1" applyAlignment="1">
      <alignment vertical="center"/>
    </xf>
    <xf numFmtId="0" fontId="50" fillId="14" borderId="1" xfId="0" applyFont="1" applyFill="1" applyBorder="1" applyAlignment="1">
      <alignment horizontal="right" vertical="center" wrapText="1" readingOrder="2"/>
    </xf>
    <xf numFmtId="0" fontId="8" fillId="11" borderId="1" xfId="0" applyFont="1" applyFill="1" applyBorder="1" applyAlignment="1">
      <alignment horizontal="right" vertical="center" wrapText="1" readingOrder="2"/>
    </xf>
    <xf numFmtId="0" fontId="3" fillId="10" borderId="5" xfId="0" applyFont="1" applyFill="1" applyBorder="1" applyAlignment="1">
      <alignment horizontal="right" vertical="center" wrapText="1" readingOrder="2"/>
    </xf>
    <xf numFmtId="0" fontId="3" fillId="10" borderId="1" xfId="0" applyFont="1" applyFill="1" applyBorder="1" applyAlignment="1">
      <alignment horizontal="center" vertical="center" readingOrder="2"/>
    </xf>
    <xf numFmtId="0" fontId="62" fillId="10" borderId="1" xfId="0" applyFont="1" applyFill="1" applyBorder="1" applyAlignment="1">
      <alignment horizontal="center" vertical="center"/>
    </xf>
    <xf numFmtId="3" fontId="65" fillId="0" borderId="1" xfId="0" applyNumberFormat="1" applyFont="1" applyBorder="1" applyAlignment="1">
      <alignment horizontal="center" vertical="center"/>
    </xf>
    <xf numFmtId="0" fontId="60" fillId="0" borderId="0" xfId="0" applyFont="1"/>
    <xf numFmtId="0" fontId="66" fillId="0" borderId="0" xfId="0" applyFont="1"/>
    <xf numFmtId="3" fontId="8" fillId="0" borderId="1" xfId="0" applyNumberFormat="1" applyFont="1" applyBorder="1" applyAlignment="1">
      <alignment horizontal="center" vertical="center" wrapText="1"/>
    </xf>
    <xf numFmtId="3" fontId="8"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0" fontId="64" fillId="0" borderId="1" xfId="0" applyFont="1" applyBorder="1" applyAlignment="1">
      <alignment horizontal="center" vertical="center"/>
    </xf>
    <xf numFmtId="0" fontId="64" fillId="0" borderId="8" xfId="0" applyFont="1" applyBorder="1" applyAlignment="1">
      <alignment horizontal="center" vertical="center"/>
    </xf>
    <xf numFmtId="0" fontId="3" fillId="16" borderId="46" xfId="0" applyFont="1" applyFill="1" applyBorder="1" applyAlignment="1">
      <alignment horizontal="right" vertical="center" wrapText="1"/>
    </xf>
    <xf numFmtId="3" fontId="3" fillId="17" borderId="23" xfId="0" applyNumberFormat="1" applyFont="1" applyFill="1" applyBorder="1" applyAlignment="1">
      <alignment horizontal="center" vertical="center"/>
    </xf>
    <xf numFmtId="3" fontId="3" fillId="16" borderId="23" xfId="0" applyNumberFormat="1" applyFont="1" applyFill="1" applyBorder="1" applyAlignment="1">
      <alignment horizontal="center" vertical="center"/>
    </xf>
    <xf numFmtId="3" fontId="3" fillId="13" borderId="23" xfId="0" applyNumberFormat="1" applyFont="1" applyFill="1" applyBorder="1" applyAlignment="1">
      <alignment horizontal="center" vertical="center"/>
    </xf>
    <xf numFmtId="3" fontId="3" fillId="11" borderId="23" xfId="0" applyNumberFormat="1" applyFont="1" applyFill="1" applyBorder="1" applyAlignment="1">
      <alignment horizontal="center" vertical="center"/>
    </xf>
    <xf numFmtId="3" fontId="3" fillId="16" borderId="24" xfId="0" applyNumberFormat="1" applyFont="1" applyFill="1" applyBorder="1" applyAlignment="1">
      <alignment horizontal="center" vertical="center"/>
    </xf>
    <xf numFmtId="0" fontId="34" fillId="18" borderId="0" xfId="0" applyFont="1" applyFill="1" applyAlignment="1">
      <alignment vertical="center"/>
    </xf>
    <xf numFmtId="3" fontId="5" fillId="2" borderId="1" xfId="0" applyNumberFormat="1" applyFont="1" applyFill="1" applyBorder="1" applyAlignment="1">
      <alignment horizontal="center" vertical="center" readingOrder="2"/>
    </xf>
    <xf numFmtId="3" fontId="23" fillId="0" borderId="1" xfId="0" applyNumberFormat="1" applyFont="1" applyBorder="1" applyAlignment="1">
      <alignment horizontal="center" vertical="center"/>
    </xf>
    <xf numFmtId="3" fontId="4" fillId="0" borderId="1" xfId="0" applyNumberFormat="1" applyFont="1" applyBorder="1" applyAlignment="1">
      <alignment horizontal="center" vertical="center" readingOrder="2"/>
    </xf>
    <xf numFmtId="3" fontId="9" fillId="0" borderId="1" xfId="0" applyNumberFormat="1" applyFont="1" applyBorder="1" applyAlignment="1">
      <alignment horizontal="center" vertical="center"/>
    </xf>
    <xf numFmtId="3" fontId="1" fillId="0" borderId="1" xfId="0" applyNumberFormat="1" applyFont="1" applyBorder="1" applyAlignment="1">
      <alignment horizontal="center" vertical="center"/>
    </xf>
    <xf numFmtId="3" fontId="3" fillId="0" borderId="1" xfId="0" applyNumberFormat="1" applyFont="1" applyBorder="1" applyAlignment="1">
      <alignment horizontal="center" vertical="center" readingOrder="2"/>
    </xf>
    <xf numFmtId="3" fontId="1" fillId="0" borderId="8" xfId="0" applyNumberFormat="1" applyFont="1" applyBorder="1" applyAlignment="1">
      <alignment horizontal="center" vertical="center"/>
    </xf>
    <xf numFmtId="3" fontId="4" fillId="2" borderId="1" xfId="0" applyNumberFormat="1" applyFont="1" applyFill="1" applyBorder="1" applyAlignment="1">
      <alignment horizontal="center" vertical="center" readingOrder="2"/>
    </xf>
    <xf numFmtId="3" fontId="1" fillId="3" borderId="1" xfId="0" applyNumberFormat="1" applyFont="1" applyFill="1" applyBorder="1" applyAlignment="1">
      <alignment horizontal="center" vertical="center"/>
    </xf>
    <xf numFmtId="3" fontId="4" fillId="3" borderId="1" xfId="0" applyNumberFormat="1" applyFont="1" applyFill="1" applyBorder="1" applyAlignment="1">
      <alignment horizontal="center" vertical="center" readingOrder="2"/>
    </xf>
    <xf numFmtId="3" fontId="0" fillId="0" borderId="0" xfId="0" applyNumberFormat="1" applyAlignment="1">
      <alignment vertical="center"/>
    </xf>
    <xf numFmtId="3" fontId="36" fillId="11" borderId="1" xfId="0" applyNumberFormat="1" applyFont="1" applyFill="1" applyBorder="1" applyAlignment="1">
      <alignment horizontal="center" vertical="center"/>
    </xf>
    <xf numFmtId="3" fontId="63" fillId="12" borderId="1" xfId="0" applyNumberFormat="1" applyFont="1" applyFill="1" applyBorder="1" applyAlignment="1">
      <alignment horizontal="center" vertical="center"/>
    </xf>
    <xf numFmtId="3" fontId="23" fillId="15" borderId="1" xfId="0" applyNumberFormat="1" applyFont="1" applyFill="1" applyBorder="1" applyAlignment="1">
      <alignment horizontal="center" vertical="center"/>
    </xf>
    <xf numFmtId="3" fontId="36" fillId="0" borderId="1" xfId="0" applyNumberFormat="1" applyFont="1" applyBorder="1" applyAlignment="1">
      <alignment horizontal="center" vertical="center"/>
    </xf>
    <xf numFmtId="3" fontId="23" fillId="14" borderId="1" xfId="0" applyNumberFormat="1" applyFont="1" applyFill="1" applyBorder="1" applyAlignment="1">
      <alignment horizontal="center" vertical="center"/>
    </xf>
    <xf numFmtId="3" fontId="62" fillId="10" borderId="1" xfId="0" applyNumberFormat="1" applyFont="1" applyFill="1" applyBorder="1" applyAlignment="1">
      <alignment horizontal="center" vertical="center"/>
    </xf>
    <xf numFmtId="3" fontId="23" fillId="5" borderId="1" xfId="0" applyNumberFormat="1" applyFont="1" applyFill="1" applyBorder="1" applyAlignment="1">
      <alignment horizontal="center" vertical="center"/>
    </xf>
    <xf numFmtId="3" fontId="5" fillId="0" borderId="1" xfId="0" applyNumberFormat="1" applyFont="1" applyBorder="1" applyAlignment="1">
      <alignment horizontal="center" vertical="center" readingOrder="2"/>
    </xf>
    <xf numFmtId="3" fontId="64" fillId="0" borderId="1" xfId="0" applyNumberFormat="1" applyFont="1" applyBorder="1" applyAlignment="1">
      <alignment horizontal="center" vertical="center"/>
    </xf>
    <xf numFmtId="3" fontId="42" fillId="0" borderId="1" xfId="0" applyNumberFormat="1" applyFont="1" applyBorder="1" applyAlignment="1">
      <alignment horizontal="center" vertical="center"/>
    </xf>
    <xf numFmtId="3" fontId="64" fillId="0" borderId="8" xfId="0" applyNumberFormat="1" applyFont="1" applyBorder="1" applyAlignment="1">
      <alignment horizontal="center" vertical="center"/>
    </xf>
    <xf numFmtId="3" fontId="64" fillId="5" borderId="1" xfId="0" applyNumberFormat="1" applyFont="1" applyFill="1" applyBorder="1" applyAlignment="1">
      <alignment horizontal="center" vertical="center"/>
    </xf>
    <xf numFmtId="3" fontId="5" fillId="14" borderId="1" xfId="0" applyNumberFormat="1" applyFont="1" applyFill="1" applyBorder="1" applyAlignment="1">
      <alignment horizontal="center" vertical="center" readingOrder="2"/>
    </xf>
    <xf numFmtId="3" fontId="5" fillId="0" borderId="8" xfId="0" applyNumberFormat="1" applyFont="1" applyBorder="1" applyAlignment="1">
      <alignment horizontal="center" vertical="center" readingOrder="2"/>
    </xf>
    <xf numFmtId="3" fontId="42" fillId="5" borderId="1" xfId="0" applyNumberFormat="1" applyFont="1" applyFill="1" applyBorder="1" applyAlignment="1">
      <alignment horizontal="center" vertical="center"/>
    </xf>
    <xf numFmtId="3" fontId="61" fillId="0" borderId="1" xfId="0" applyNumberFormat="1" applyFont="1" applyBorder="1" applyAlignment="1">
      <alignment horizontal="center" vertical="center"/>
    </xf>
    <xf numFmtId="3" fontId="64" fillId="11" borderId="1" xfId="0" applyNumberFormat="1" applyFont="1" applyFill="1" applyBorder="1" applyAlignment="1">
      <alignment horizontal="center" vertical="center"/>
    </xf>
    <xf numFmtId="3" fontId="42" fillId="11" borderId="1" xfId="0" applyNumberFormat="1" applyFont="1" applyFill="1" applyBorder="1" applyAlignment="1">
      <alignment horizontal="center" vertical="center"/>
    </xf>
    <xf numFmtId="3" fontId="69" fillId="0" borderId="8" xfId="0" applyNumberFormat="1" applyFont="1" applyBorder="1" applyAlignment="1">
      <alignment horizontal="center" vertical="center" readingOrder="2"/>
    </xf>
    <xf numFmtId="3" fontId="60" fillId="0" borderId="0" xfId="0" applyNumberFormat="1" applyFont="1" applyAlignment="1">
      <alignment vertical="center"/>
    </xf>
    <xf numFmtId="3" fontId="70" fillId="13" borderId="1" xfId="0" applyNumberFormat="1" applyFont="1" applyFill="1" applyBorder="1" applyAlignment="1">
      <alignment horizontal="center" vertical="center"/>
    </xf>
    <xf numFmtId="3" fontId="71" fillId="0" borderId="1" xfId="0" applyNumberFormat="1" applyFont="1" applyBorder="1" applyAlignment="1">
      <alignment horizontal="center" vertical="center"/>
    </xf>
    <xf numFmtId="3" fontId="72" fillId="0" borderId="1" xfId="0" applyNumberFormat="1" applyFont="1" applyBorder="1" applyAlignment="1">
      <alignment horizontal="center" vertical="center"/>
    </xf>
    <xf numFmtId="0" fontId="42" fillId="0" borderId="0" xfId="0" applyFont="1" applyAlignment="1">
      <alignment horizontal="center" vertical="center"/>
    </xf>
    <xf numFmtId="0" fontId="42" fillId="0" borderId="23" xfId="0" applyFont="1" applyBorder="1" applyAlignment="1">
      <alignment horizontal="center" vertical="center"/>
    </xf>
    <xf numFmtId="0" fontId="42" fillId="0" borderId="24" xfId="0" applyFont="1" applyBorder="1" applyAlignment="1">
      <alignment horizontal="center" vertical="center"/>
    </xf>
    <xf numFmtId="0" fontId="3" fillId="10" borderId="1" xfId="0" applyFont="1" applyFill="1" applyBorder="1" applyAlignment="1">
      <alignment horizontal="center" vertical="center" wrapText="1" readingOrder="2"/>
    </xf>
    <xf numFmtId="3" fontId="0" fillId="0" borderId="0" xfId="0" applyNumberFormat="1" applyAlignment="1">
      <alignment horizontal="center" vertical="center"/>
    </xf>
    <xf numFmtId="3" fontId="1" fillId="12" borderId="1" xfId="0" applyNumberFormat="1" applyFont="1" applyFill="1" applyBorder="1" applyAlignment="1">
      <alignment horizontal="center" vertical="center"/>
    </xf>
    <xf numFmtId="0" fontId="8" fillId="20" borderId="5" xfId="0" applyFont="1" applyFill="1" applyBorder="1" applyAlignment="1">
      <alignment vertical="center" wrapText="1"/>
    </xf>
    <xf numFmtId="0" fontId="3" fillId="20" borderId="1" xfId="0" applyFont="1" applyFill="1" applyBorder="1" applyAlignment="1">
      <alignment horizontal="right" vertical="center" wrapText="1" readingOrder="2"/>
    </xf>
    <xf numFmtId="0" fontId="61" fillId="20" borderId="1" xfId="0" applyFont="1" applyFill="1" applyBorder="1" applyAlignment="1">
      <alignment horizontal="center" vertical="center"/>
    </xf>
    <xf numFmtId="3" fontId="23" fillId="20" borderId="1" xfId="0" applyNumberFormat="1" applyFont="1" applyFill="1" applyBorder="1" applyAlignment="1">
      <alignment horizontal="center" vertical="center"/>
    </xf>
    <xf numFmtId="0" fontId="8" fillId="19" borderId="5" xfId="0" applyFont="1" applyFill="1" applyBorder="1" applyAlignment="1">
      <alignment vertical="center" wrapText="1"/>
    </xf>
    <xf numFmtId="0" fontId="3" fillId="19" borderId="1" xfId="0" applyFont="1" applyFill="1" applyBorder="1" applyAlignment="1">
      <alignment horizontal="right" vertical="center" wrapText="1" readingOrder="2"/>
    </xf>
    <xf numFmtId="0" fontId="61" fillId="19" borderId="1" xfId="0" applyFont="1" applyFill="1" applyBorder="1" applyAlignment="1">
      <alignment horizontal="center" vertical="center"/>
    </xf>
    <xf numFmtId="3" fontId="23" fillId="19" borderId="1" xfId="0" applyNumberFormat="1" applyFont="1" applyFill="1" applyBorder="1" applyAlignment="1">
      <alignment horizontal="center" vertical="center"/>
    </xf>
    <xf numFmtId="0" fontId="74" fillId="0" borderId="5" xfId="0" applyFont="1" applyBorder="1" applyAlignment="1">
      <alignment horizontal="right" vertical="center" wrapText="1"/>
    </xf>
    <xf numFmtId="3" fontId="74" fillId="0" borderId="1" xfId="0" applyNumberFormat="1" applyFont="1" applyBorder="1" applyAlignment="1">
      <alignment horizontal="center" vertical="center" wrapText="1"/>
    </xf>
    <xf numFmtId="3" fontId="74" fillId="0" borderId="1" xfId="0" applyNumberFormat="1" applyFont="1" applyBorder="1" applyAlignment="1">
      <alignment horizontal="center" vertical="center"/>
    </xf>
    <xf numFmtId="3" fontId="75" fillId="0" borderId="1" xfId="0" applyNumberFormat="1" applyFont="1" applyBorder="1" applyAlignment="1">
      <alignment horizontal="center" vertical="center"/>
    </xf>
    <xf numFmtId="0" fontId="75" fillId="0" borderId="1" xfId="0" applyFont="1" applyBorder="1" applyAlignment="1">
      <alignment horizontal="center" vertical="center" wrapText="1"/>
    </xf>
    <xf numFmtId="9" fontId="75" fillId="0" borderId="6" xfId="0" applyNumberFormat="1" applyFont="1" applyBorder="1" applyAlignment="1">
      <alignment horizontal="center" vertical="center" wrapText="1" readingOrder="2"/>
    </xf>
    <xf numFmtId="0" fontId="74" fillId="0" borderId="33" xfId="0" applyFont="1" applyBorder="1" applyAlignment="1">
      <alignment horizontal="right" vertical="center" wrapText="1"/>
    </xf>
    <xf numFmtId="3" fontId="74" fillId="0" borderId="14" xfId="0" applyNumberFormat="1" applyFont="1" applyBorder="1" applyAlignment="1">
      <alignment horizontal="center" vertical="center" wrapText="1"/>
    </xf>
    <xf numFmtId="3" fontId="74" fillId="0" borderId="14" xfId="0" applyNumberFormat="1" applyFont="1" applyBorder="1" applyAlignment="1">
      <alignment horizontal="center" vertical="center"/>
    </xf>
    <xf numFmtId="3" fontId="75" fillId="0" borderId="14" xfId="0" applyNumberFormat="1" applyFont="1" applyBorder="1" applyAlignment="1">
      <alignment horizontal="center" vertical="center"/>
    </xf>
    <xf numFmtId="0" fontId="75" fillId="0" borderId="14" xfId="0" applyFont="1" applyBorder="1" applyAlignment="1">
      <alignment horizontal="center" vertical="center" wrapText="1"/>
    </xf>
    <xf numFmtId="9" fontId="75" fillId="0" borderId="39" xfId="0" applyNumberFormat="1" applyFont="1" applyBorder="1" applyAlignment="1">
      <alignment horizontal="center" vertical="center" wrapText="1" readingOrder="2"/>
    </xf>
    <xf numFmtId="0" fontId="0" fillId="0" borderId="22" xfId="0" applyBorder="1" applyAlignment="1">
      <alignment vertical="center"/>
    </xf>
    <xf numFmtId="0" fontId="0" fillId="0" borderId="69" xfId="0" applyBorder="1" applyAlignment="1">
      <alignment vertical="center"/>
    </xf>
    <xf numFmtId="0" fontId="59" fillId="21" borderId="0" xfId="0" applyFont="1" applyFill="1" applyAlignment="1">
      <alignment horizontal="center" vertical="center"/>
    </xf>
    <xf numFmtId="0" fontId="0" fillId="0" borderId="0" xfId="0" applyAlignment="1">
      <alignment horizontal="right" vertical="center"/>
    </xf>
    <xf numFmtId="0" fontId="0" fillId="0" borderId="19" xfId="0" applyBorder="1" applyAlignment="1">
      <alignment horizontal="right" vertical="center"/>
    </xf>
    <xf numFmtId="0" fontId="0" fillId="0" borderId="40" xfId="0" applyBorder="1" applyAlignment="1">
      <alignment horizontal="right" vertical="center"/>
    </xf>
    <xf numFmtId="0" fontId="22" fillId="0" borderId="19" xfId="0" applyFont="1" applyBorder="1" applyAlignment="1">
      <alignment horizontal="center" readingOrder="2"/>
    </xf>
    <xf numFmtId="0" fontId="22" fillId="0" borderId="41" xfId="0" applyFont="1" applyBorder="1" applyAlignment="1">
      <alignment horizontal="center" readingOrder="2"/>
    </xf>
    <xf numFmtId="0" fontId="22" fillId="0" borderId="44" xfId="0" applyFont="1" applyBorder="1" applyAlignment="1">
      <alignment horizontal="center" vertical="center" readingOrder="2"/>
    </xf>
    <xf numFmtId="0" fontId="22" fillId="0" borderId="45" xfId="0" applyFont="1" applyBorder="1" applyAlignment="1">
      <alignment horizontal="center" vertical="center" readingOrder="2"/>
    </xf>
    <xf numFmtId="0" fontId="10" fillId="0" borderId="65" xfId="0" applyFont="1" applyBorder="1" applyAlignment="1">
      <alignment horizontal="right" vertical="center" readingOrder="2"/>
    </xf>
    <xf numFmtId="0" fontId="10" fillId="0" borderId="66" xfId="0" applyFont="1" applyBorder="1" applyAlignment="1">
      <alignment horizontal="right" vertical="center" readingOrder="2"/>
    </xf>
    <xf numFmtId="0" fontId="10" fillId="0" borderId="35" xfId="0" applyFont="1" applyBorder="1" applyAlignment="1">
      <alignment horizontal="right"/>
    </xf>
    <xf numFmtId="0" fontId="10" fillId="0" borderId="65" xfId="0" applyFont="1" applyBorder="1" applyAlignment="1">
      <alignment horizontal="right"/>
    </xf>
    <xf numFmtId="0" fontId="10" fillId="0" borderId="66" xfId="0" applyFont="1" applyBorder="1" applyAlignment="1">
      <alignment horizontal="right"/>
    </xf>
    <xf numFmtId="0" fontId="38" fillId="0" borderId="25" xfId="0" applyFont="1" applyBorder="1" applyAlignment="1">
      <alignment horizontal="center"/>
    </xf>
    <xf numFmtId="0" fontId="38" fillId="0" borderId="18" xfId="0" applyFont="1" applyBorder="1" applyAlignment="1">
      <alignment horizontal="center"/>
    </xf>
    <xf numFmtId="0" fontId="38" fillId="0" borderId="28" xfId="0" applyFont="1" applyBorder="1" applyAlignment="1">
      <alignment horizontal="center"/>
    </xf>
    <xf numFmtId="0" fontId="38" fillId="0" borderId="17" xfId="0" applyFont="1" applyBorder="1" applyAlignment="1">
      <alignment horizontal="center"/>
    </xf>
    <xf numFmtId="0" fontId="0" fillId="0" borderId="42" xfId="0" applyBorder="1" applyAlignment="1">
      <alignment horizontal="center" vertical="center"/>
    </xf>
    <xf numFmtId="0" fontId="0" fillId="0" borderId="43" xfId="0" applyBorder="1" applyAlignment="1">
      <alignment horizontal="center" vertical="center"/>
    </xf>
    <xf numFmtId="0" fontId="39" fillId="6" borderId="2" xfId="0" applyFont="1" applyFill="1" applyBorder="1" applyAlignment="1">
      <alignment horizontal="center" vertical="center"/>
    </xf>
    <xf numFmtId="0" fontId="39" fillId="6" borderId="3" xfId="0" applyFont="1" applyFill="1" applyBorder="1" applyAlignment="1">
      <alignment horizontal="center" vertical="center"/>
    </xf>
    <xf numFmtId="0" fontId="39" fillId="6" borderId="4" xfId="0" applyFont="1" applyFill="1" applyBorder="1" applyAlignment="1">
      <alignment horizontal="center" vertical="center"/>
    </xf>
    <xf numFmtId="0" fontId="39" fillId="6" borderId="5" xfId="0" applyFont="1" applyFill="1" applyBorder="1" applyAlignment="1">
      <alignment horizontal="center" vertical="center"/>
    </xf>
    <xf numFmtId="0" fontId="39" fillId="6" borderId="1" xfId="0" applyFont="1" applyFill="1" applyBorder="1" applyAlignment="1">
      <alignment horizontal="center" vertical="center"/>
    </xf>
    <xf numFmtId="0" fontId="39" fillId="6" borderId="6" xfId="0" applyFont="1" applyFill="1" applyBorder="1" applyAlignment="1">
      <alignment horizontal="center" vertical="center"/>
    </xf>
    <xf numFmtId="0" fontId="36" fillId="0" borderId="0" xfId="0" applyFont="1" applyAlignment="1">
      <alignment horizontal="right" vertical="center" indent="1"/>
    </xf>
    <xf numFmtId="0" fontId="36" fillId="0" borderId="0" xfId="0" applyFont="1" applyAlignment="1">
      <alignment horizontal="center" vertical="center"/>
    </xf>
    <xf numFmtId="0" fontId="36" fillId="0" borderId="0" xfId="0" applyFont="1" applyAlignment="1">
      <alignment horizontal="center" vertical="center" wrapText="1"/>
    </xf>
    <xf numFmtId="0" fontId="10" fillId="0" borderId="40" xfId="0" applyFont="1" applyBorder="1" applyAlignment="1">
      <alignment horizontal="center"/>
    </xf>
    <xf numFmtId="0" fontId="0" fillId="0" borderId="67"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1" xfId="0" applyBorder="1" applyAlignment="1">
      <alignment horizontal="center" vertical="center"/>
    </xf>
    <xf numFmtId="0" fontId="0" fillId="0" borderId="22" xfId="0" applyBorder="1" applyAlignment="1">
      <alignment horizontal="center" vertical="center"/>
    </xf>
    <xf numFmtId="0" fontId="34" fillId="18" borderId="64" xfId="0" applyFont="1" applyFill="1" applyBorder="1" applyAlignment="1">
      <alignment horizontal="center" vertical="center"/>
    </xf>
    <xf numFmtId="0" fontId="34" fillId="18" borderId="0" xfId="0" applyFont="1" applyFill="1" applyAlignment="1">
      <alignment horizontal="left"/>
    </xf>
    <xf numFmtId="0" fontId="35" fillId="0" borderId="0" xfId="0" applyFont="1" applyAlignment="1">
      <alignment horizontal="center" vertical="center"/>
    </xf>
    <xf numFmtId="0" fontId="10" fillId="0" borderId="30" xfId="0" applyFont="1" applyBorder="1" applyAlignment="1">
      <alignment horizontal="right" indent="1" readingOrder="2"/>
    </xf>
    <xf numFmtId="0" fontId="10" fillId="0" borderId="31" xfId="0" applyFont="1" applyBorder="1" applyAlignment="1">
      <alignment horizontal="right" indent="1" readingOrder="2"/>
    </xf>
    <xf numFmtId="0" fontId="10" fillId="0" borderId="26" xfId="0" applyFont="1" applyBorder="1" applyAlignment="1">
      <alignment horizontal="right" indent="1" readingOrder="2"/>
    </xf>
    <xf numFmtId="0" fontId="10" fillId="0" borderId="0" xfId="0" applyFont="1" applyAlignment="1">
      <alignment horizontal="right" indent="1" readingOrder="2"/>
    </xf>
    <xf numFmtId="0" fontId="22" fillId="0" borderId="31" xfId="0" applyFont="1" applyBorder="1" applyAlignment="1">
      <alignment horizontal="right" indent="2" readingOrder="2"/>
    </xf>
    <xf numFmtId="0" fontId="0" fillId="0" borderId="31" xfId="0" applyBorder="1"/>
    <xf numFmtId="0" fontId="0" fillId="0" borderId="32" xfId="0" applyBorder="1"/>
    <xf numFmtId="0" fontId="0" fillId="0" borderId="0" xfId="0"/>
    <xf numFmtId="0" fontId="0" fillId="0" borderId="27" xfId="0" applyBorder="1"/>
    <xf numFmtId="0" fontId="0" fillId="0" borderId="61" xfId="0" applyBorder="1" applyAlignment="1">
      <alignment horizontal="center" vertical="center"/>
    </xf>
    <xf numFmtId="0" fontId="0" fillId="6" borderId="50" xfId="0" applyFill="1" applyBorder="1" applyAlignment="1">
      <alignment horizontal="center" vertical="center"/>
    </xf>
    <xf numFmtId="0" fontId="0" fillId="6" borderId="51" xfId="0" applyFill="1" applyBorder="1" applyAlignment="1">
      <alignment horizontal="center" vertical="center"/>
    </xf>
    <xf numFmtId="0" fontId="0" fillId="6" borderId="53" xfId="0" applyFill="1" applyBorder="1" applyAlignment="1">
      <alignment horizontal="center" vertical="center"/>
    </xf>
    <xf numFmtId="0" fontId="0" fillId="6" borderId="52" xfId="0" applyFill="1" applyBorder="1" applyAlignment="1">
      <alignment horizontal="center" vertical="center"/>
    </xf>
    <xf numFmtId="0" fontId="0" fillId="0" borderId="0" xfId="0" applyAlignment="1">
      <alignment horizontal="right"/>
    </xf>
    <xf numFmtId="0" fontId="43" fillId="7" borderId="20" xfId="1" applyBorder="1" applyAlignment="1">
      <alignment horizontal="center" vertical="center"/>
    </xf>
    <xf numFmtId="0" fontId="43" fillId="7" borderId="61" xfId="1" applyBorder="1" applyAlignment="1">
      <alignment horizontal="center" vertical="center"/>
    </xf>
    <xf numFmtId="0" fontId="10" fillId="0" borderId="0" xfId="0" applyFont="1" applyAlignment="1">
      <alignment horizontal="right"/>
    </xf>
    <xf numFmtId="0" fontId="10" fillId="0" borderId="19" xfId="0" applyFont="1" applyBorder="1" applyAlignment="1">
      <alignment horizontal="right" vertical="center"/>
    </xf>
    <xf numFmtId="0" fontId="10" fillId="0" borderId="19" xfId="0" applyFont="1" applyBorder="1" applyAlignment="1">
      <alignment horizontal="right"/>
    </xf>
    <xf numFmtId="0" fontId="10" fillId="0" borderId="47" xfId="0" applyFont="1" applyBorder="1" applyAlignment="1">
      <alignment horizontal="right" vertical="center"/>
    </xf>
    <xf numFmtId="0" fontId="10" fillId="0" borderId="0" xfId="0" applyFont="1" applyAlignment="1">
      <alignment horizontal="right" vertical="center" indent="1"/>
    </xf>
    <xf numFmtId="49" fontId="10" fillId="0" borderId="0" xfId="0" applyNumberFormat="1" applyFont="1" applyAlignment="1">
      <alignment horizontal="center" vertical="center" readingOrder="2"/>
    </xf>
    <xf numFmtId="0" fontId="0" fillId="0" borderId="12" xfId="0" applyBorder="1" applyAlignment="1">
      <alignment horizontal="right"/>
    </xf>
    <xf numFmtId="0" fontId="0" fillId="0" borderId="55" xfId="0" applyBorder="1" applyAlignment="1">
      <alignment horizontal="right"/>
    </xf>
    <xf numFmtId="0" fontId="0" fillId="0" borderId="13" xfId="0" applyBorder="1" applyAlignment="1">
      <alignment horizontal="right"/>
    </xf>
    <xf numFmtId="0" fontId="0" fillId="0" borderId="10" xfId="0" applyBorder="1" applyAlignment="1">
      <alignment horizontal="right"/>
    </xf>
    <xf numFmtId="0" fontId="0" fillId="0" borderId="49" xfId="0" applyBorder="1" applyAlignment="1">
      <alignment horizontal="right"/>
    </xf>
    <xf numFmtId="0" fontId="0" fillId="0" borderId="11" xfId="0" applyBorder="1" applyAlignment="1">
      <alignment horizontal="right"/>
    </xf>
    <xf numFmtId="0" fontId="44" fillId="0" borderId="0" xfId="0" applyFont="1" applyAlignment="1">
      <alignment horizontal="right"/>
    </xf>
    <xf numFmtId="0" fontId="0" fillId="0" borderId="18" xfId="0" applyBorder="1" applyAlignment="1">
      <alignment horizontal="right" vertical="center"/>
    </xf>
    <xf numFmtId="0" fontId="0" fillId="0" borderId="17" xfId="0" applyBorder="1" applyAlignment="1">
      <alignment horizontal="right" vertical="center"/>
    </xf>
    <xf numFmtId="0" fontId="0" fillId="0" borderId="48" xfId="0" applyBorder="1" applyAlignment="1">
      <alignment horizontal="right" vertical="center"/>
    </xf>
    <xf numFmtId="0" fontId="0" fillId="0" borderId="29" xfId="0" applyBorder="1" applyAlignment="1">
      <alignment horizontal="right" vertical="center"/>
    </xf>
    <xf numFmtId="0" fontId="0" fillId="0" borderId="56" xfId="0" applyBorder="1" applyAlignment="1">
      <alignment horizontal="right"/>
    </xf>
    <xf numFmtId="0" fontId="0" fillId="0" borderId="54" xfId="0" applyBorder="1" applyAlignment="1">
      <alignment horizontal="right"/>
    </xf>
    <xf numFmtId="49" fontId="25" fillId="0" borderId="0" xfId="0" applyNumberFormat="1" applyFont="1" applyAlignment="1">
      <alignment horizontal="right" vertical="center" indent="1" readingOrder="2"/>
    </xf>
    <xf numFmtId="49" fontId="25" fillId="0" borderId="0" xfId="0" applyNumberFormat="1" applyFont="1" applyAlignment="1">
      <alignment horizontal="right" vertical="center" readingOrder="2"/>
    </xf>
    <xf numFmtId="49" fontId="25" fillId="0" borderId="57" xfId="0" applyNumberFormat="1" applyFont="1" applyBorder="1" applyAlignment="1">
      <alignment horizontal="right" vertical="center" readingOrder="2"/>
    </xf>
    <xf numFmtId="0" fontId="10" fillId="0" borderId="0" xfId="0" applyFont="1" applyAlignment="1">
      <alignment horizontal="center" vertical="center"/>
    </xf>
    <xf numFmtId="0" fontId="22" fillId="0" borderId="0" xfId="0" applyFont="1" applyAlignment="1">
      <alignment horizontal="center" vertical="center"/>
    </xf>
    <xf numFmtId="0" fontId="10" fillId="0" borderId="0" xfId="0" applyFont="1" applyAlignment="1">
      <alignment horizontal="right" wrapText="1"/>
    </xf>
    <xf numFmtId="0" fontId="10" fillId="0" borderId="0" xfId="0" applyFont="1" applyAlignment="1">
      <alignment horizontal="right" vertical="center" wrapText="1"/>
    </xf>
    <xf numFmtId="0" fontId="7" fillId="0" borderId="19" xfId="0" applyFont="1" applyBorder="1" applyAlignment="1">
      <alignment horizontal="right"/>
    </xf>
    <xf numFmtId="0" fontId="10" fillId="0" borderId="47" xfId="0" applyFont="1" applyBorder="1" applyAlignment="1">
      <alignment horizontal="right" vertical="center" wrapText="1"/>
    </xf>
    <xf numFmtId="3" fontId="22" fillId="0" borderId="19" xfId="0" applyNumberFormat="1" applyFont="1" applyBorder="1" applyAlignment="1">
      <alignment horizontal="center"/>
    </xf>
    <xf numFmtId="0" fontId="22" fillId="0" borderId="19" xfId="0" applyFont="1" applyBorder="1" applyAlignment="1">
      <alignment horizontal="center"/>
    </xf>
    <xf numFmtId="0" fontId="10" fillId="0" borderId="0" xfId="0" applyFont="1" applyAlignment="1">
      <alignment horizontal="right" vertical="center"/>
    </xf>
    <xf numFmtId="0" fontId="36" fillId="0" borderId="0" xfId="0" applyFont="1" applyAlignment="1">
      <alignment horizontal="right" indent="1"/>
    </xf>
    <xf numFmtId="0" fontId="36" fillId="0" borderId="0" xfId="0" applyFont="1" applyAlignment="1">
      <alignment horizontal="center" vertical="center" readingOrder="2"/>
    </xf>
    <xf numFmtId="0" fontId="36" fillId="0" borderId="27" xfId="0" applyFont="1" applyBorder="1" applyAlignment="1">
      <alignment horizontal="center" vertical="center" readingOrder="2"/>
    </xf>
    <xf numFmtId="0" fontId="42" fillId="0" borderId="0" xfId="0" applyFont="1" applyAlignment="1">
      <alignment horizontal="center"/>
    </xf>
    <xf numFmtId="0" fontId="0" fillId="0" borderId="19" xfId="0" applyBorder="1" applyAlignment="1">
      <alignment horizontal="center"/>
    </xf>
    <xf numFmtId="0" fontId="42" fillId="0" borderId="19" xfId="0" applyFont="1" applyBorder="1" applyAlignment="1">
      <alignment horizontal="center"/>
    </xf>
    <xf numFmtId="0" fontId="36" fillId="0" borderId="0" xfId="0" applyFont="1" applyAlignment="1">
      <alignment horizontal="right"/>
    </xf>
    <xf numFmtId="0" fontId="7" fillId="0" borderId="0" xfId="0" applyFont="1" applyAlignment="1">
      <alignment horizontal="right"/>
    </xf>
    <xf numFmtId="0" fontId="7" fillId="0" borderId="0" xfId="0" applyFont="1" applyAlignment="1">
      <alignment horizontal="center"/>
    </xf>
    <xf numFmtId="0" fontId="37" fillId="0" borderId="20" xfId="0" applyFont="1" applyBorder="1" applyAlignment="1">
      <alignment horizontal="center" vertical="center"/>
    </xf>
    <xf numFmtId="0" fontId="37" fillId="0" borderId="21" xfId="0" applyFont="1" applyBorder="1" applyAlignment="1">
      <alignment horizontal="center" vertical="center"/>
    </xf>
    <xf numFmtId="0" fontId="37" fillId="0" borderId="22" xfId="0" applyFont="1" applyBorder="1" applyAlignment="1">
      <alignment horizontal="center" vertical="center"/>
    </xf>
    <xf numFmtId="0" fontId="42" fillId="0" borderId="38" xfId="0" applyFont="1" applyBorder="1" applyAlignment="1">
      <alignment horizontal="center" vertical="center"/>
    </xf>
    <xf numFmtId="0" fontId="42" fillId="0" borderId="37" xfId="0" applyFont="1" applyBorder="1" applyAlignment="1">
      <alignment horizontal="center" vertical="center"/>
    </xf>
    <xf numFmtId="0" fontId="10" fillId="0" borderId="25" xfId="0" applyFont="1" applyBorder="1" applyAlignment="1">
      <alignment horizontal="right"/>
    </xf>
    <xf numFmtId="0" fontId="10" fillId="0" borderId="18" xfId="0" applyFont="1" applyBorder="1" applyAlignment="1">
      <alignment horizontal="right"/>
    </xf>
    <xf numFmtId="0" fontId="10" fillId="0" borderId="26" xfId="0" applyFont="1" applyBorder="1" applyAlignment="1">
      <alignment horizontal="center"/>
    </xf>
    <xf numFmtId="0" fontId="10" fillId="0" borderId="0" xfId="0" applyFont="1" applyAlignment="1">
      <alignment horizontal="center"/>
    </xf>
    <xf numFmtId="0" fontId="40" fillId="6" borderId="26" xfId="0" applyFont="1" applyFill="1" applyBorder="1" applyAlignment="1">
      <alignment horizontal="center" vertical="center" wrapText="1" readingOrder="2"/>
    </xf>
    <xf numFmtId="0" fontId="40" fillId="6" borderId="0" xfId="0" applyFont="1" applyFill="1" applyAlignment="1">
      <alignment horizontal="center" vertical="center" wrapText="1" readingOrder="2"/>
    </xf>
    <xf numFmtId="0" fontId="40" fillId="6" borderId="27" xfId="0" applyFont="1" applyFill="1" applyBorder="1" applyAlignment="1">
      <alignment horizontal="center" vertical="center" wrapText="1" readingOrder="2"/>
    </xf>
    <xf numFmtId="0" fontId="40" fillId="6" borderId="28" xfId="0" applyFont="1" applyFill="1" applyBorder="1" applyAlignment="1">
      <alignment horizontal="center" vertical="center" wrapText="1" readingOrder="2"/>
    </xf>
    <xf numFmtId="0" fontId="40" fillId="6" borderId="17" xfId="0" applyFont="1" applyFill="1" applyBorder="1" applyAlignment="1">
      <alignment horizontal="center" vertical="center" wrapText="1" readingOrder="2"/>
    </xf>
    <xf numFmtId="0" fontId="40" fillId="6" borderId="29" xfId="0" applyFont="1" applyFill="1" applyBorder="1" applyAlignment="1">
      <alignment horizontal="center" vertical="center" wrapText="1" readingOrder="2"/>
    </xf>
    <xf numFmtId="0" fontId="29" fillId="21" borderId="0" xfId="0" applyFont="1" applyFill="1" applyAlignment="1">
      <alignment horizontal="center" vertical="center" readingOrder="2"/>
    </xf>
    <xf numFmtId="0" fontId="29" fillId="21" borderId="17" xfId="0" applyFont="1" applyFill="1" applyBorder="1" applyAlignment="1">
      <alignment horizontal="center" vertical="center" readingOrder="2"/>
    </xf>
    <xf numFmtId="0" fontId="10" fillId="0" borderId="0" xfId="0" applyFont="1" applyAlignment="1">
      <alignment horizontal="right" vertical="center" indent="2" readingOrder="2"/>
    </xf>
    <xf numFmtId="0" fontId="10" fillId="0" borderId="27" xfId="0" applyFont="1" applyBorder="1" applyAlignment="1">
      <alignment horizontal="right" vertical="center" indent="2" readingOrder="2"/>
    </xf>
    <xf numFmtId="0" fontId="40" fillId="6" borderId="2" xfId="0" applyFont="1" applyFill="1" applyBorder="1" applyAlignment="1">
      <alignment horizontal="center" vertical="center" wrapText="1"/>
    </xf>
    <xf numFmtId="0" fontId="40" fillId="6" borderId="3" xfId="0" applyFont="1" applyFill="1" applyBorder="1" applyAlignment="1">
      <alignment horizontal="center" vertical="center" wrapText="1"/>
    </xf>
    <xf numFmtId="0" fontId="40" fillId="6" borderId="4" xfId="0" applyFont="1" applyFill="1" applyBorder="1" applyAlignment="1">
      <alignment horizontal="center" vertical="center" wrapText="1"/>
    </xf>
    <xf numFmtId="0" fontId="40" fillId="6" borderId="33" xfId="0" applyFont="1" applyFill="1" applyBorder="1" applyAlignment="1">
      <alignment horizontal="center" vertical="center" wrapText="1"/>
    </xf>
    <xf numFmtId="0" fontId="40" fillId="6" borderId="14" xfId="0" applyFont="1" applyFill="1" applyBorder="1" applyAlignment="1">
      <alignment horizontal="center" vertical="center" wrapText="1"/>
    </xf>
    <xf numFmtId="0" fontId="40" fillId="6" borderId="39" xfId="0" applyFont="1" applyFill="1" applyBorder="1" applyAlignment="1">
      <alignment horizontal="center" vertical="center" wrapText="1"/>
    </xf>
    <xf numFmtId="0" fontId="50" fillId="0" borderId="38" xfId="0" applyFont="1" applyBorder="1" applyAlignment="1">
      <alignment horizontal="right" vertical="center"/>
    </xf>
    <xf numFmtId="0" fontId="50" fillId="0" borderId="37" xfId="0" applyFont="1" applyBorder="1" applyAlignment="1">
      <alignment horizontal="right" vertical="center"/>
    </xf>
    <xf numFmtId="0" fontId="10" fillId="0" borderId="26" xfId="0" applyFont="1" applyBorder="1" applyAlignment="1">
      <alignment horizontal="right" readingOrder="2"/>
    </xf>
    <xf numFmtId="0" fontId="10" fillId="0" borderId="0" xfId="0" applyFont="1" applyAlignment="1">
      <alignment horizontal="right" readingOrder="2"/>
    </xf>
    <xf numFmtId="0" fontId="10" fillId="0" borderId="30" xfId="0" applyFont="1" applyBorder="1" applyAlignment="1">
      <alignment horizontal="center" readingOrder="2"/>
    </xf>
    <xf numFmtId="0" fontId="10" fillId="0" borderId="31" xfId="0" applyFont="1" applyBorder="1" applyAlignment="1">
      <alignment horizontal="center" readingOrder="2"/>
    </xf>
    <xf numFmtId="0" fontId="40" fillId="6" borderId="30" xfId="0" applyFont="1" applyFill="1" applyBorder="1" applyAlignment="1">
      <alignment horizontal="center" vertical="center" wrapText="1" readingOrder="2"/>
    </xf>
    <xf numFmtId="0" fontId="40" fillId="6" borderId="31" xfId="0" applyFont="1" applyFill="1" applyBorder="1" applyAlignment="1">
      <alignment horizontal="center" vertical="center" wrapText="1" readingOrder="2"/>
    </xf>
    <xf numFmtId="0" fontId="40" fillId="6" borderId="32" xfId="0" applyFont="1" applyFill="1" applyBorder="1" applyAlignment="1">
      <alignment horizontal="center" vertical="center" wrapText="1" readingOrder="2"/>
    </xf>
    <xf numFmtId="0" fontId="40" fillId="6" borderId="34" xfId="0" applyFont="1" applyFill="1" applyBorder="1" applyAlignment="1">
      <alignment horizontal="center" vertical="center" wrapText="1" readingOrder="2"/>
    </xf>
    <xf numFmtId="0" fontId="40" fillId="6" borderId="35" xfId="0" applyFont="1" applyFill="1" applyBorder="1" applyAlignment="1">
      <alignment horizontal="center" vertical="center" wrapText="1" readingOrder="2"/>
    </xf>
    <xf numFmtId="0" fontId="40" fillId="6" borderId="36" xfId="0" applyFont="1" applyFill="1" applyBorder="1" applyAlignment="1">
      <alignment horizontal="center" vertical="center" wrapText="1" readingOrder="2"/>
    </xf>
    <xf numFmtId="0" fontId="0" fillId="0" borderId="20" xfId="0" applyBorder="1" applyAlignment="1">
      <alignment horizontal="center" vertical="center"/>
    </xf>
    <xf numFmtId="0" fontId="0" fillId="0" borderId="67" xfId="0" applyBorder="1" applyAlignment="1">
      <alignment horizontal="center" vertical="center"/>
    </xf>
    <xf numFmtId="0" fontId="42" fillId="0" borderId="19" xfId="0" applyFont="1" applyBorder="1" applyAlignment="1">
      <alignment horizontal="right"/>
    </xf>
    <xf numFmtId="0" fontId="10" fillId="0" borderId="0" xfId="0" applyFont="1" applyAlignment="1">
      <alignment horizontal="right" vertical="center" readingOrder="2"/>
    </xf>
    <xf numFmtId="0" fontId="10" fillId="0" borderId="27" xfId="0" applyFont="1" applyBorder="1" applyAlignment="1">
      <alignment horizontal="right" vertical="center" readingOrder="2"/>
    </xf>
    <xf numFmtId="0" fontId="10" fillId="0" borderId="17" xfId="0" applyFont="1" applyBorder="1" applyAlignment="1">
      <alignment horizontal="right" vertical="center" readingOrder="2"/>
    </xf>
    <xf numFmtId="0" fontId="10" fillId="0" borderId="29" xfId="0" applyFont="1" applyBorder="1" applyAlignment="1">
      <alignment horizontal="right" vertical="center" readingOrder="2"/>
    </xf>
    <xf numFmtId="0" fontId="29" fillId="0" borderId="0" xfId="0" applyFont="1" applyAlignment="1">
      <alignment horizontal="center" vertical="center" readingOrder="2"/>
    </xf>
    <xf numFmtId="0" fontId="29" fillId="0" borderId="17" xfId="0" applyFont="1" applyBorder="1" applyAlignment="1">
      <alignment horizontal="center" vertical="center" readingOrder="2"/>
    </xf>
    <xf numFmtId="0" fontId="41" fillId="0" borderId="0" xfId="0" applyFont="1" applyAlignment="1">
      <alignment horizontal="right" wrapText="1"/>
    </xf>
    <xf numFmtId="0" fontId="10" fillId="0" borderId="17" xfId="0" applyFont="1" applyBorder="1" applyAlignment="1">
      <alignment horizontal="right" vertical="center" indent="2" readingOrder="2"/>
    </xf>
    <xf numFmtId="0" fontId="10" fillId="0" borderId="29" xfId="0" applyFont="1" applyBorder="1" applyAlignment="1">
      <alignment horizontal="right" vertical="center" indent="2" readingOrder="2"/>
    </xf>
    <xf numFmtId="0" fontId="10" fillId="0" borderId="26" xfId="0" applyFont="1" applyBorder="1" applyAlignment="1">
      <alignment horizontal="right" vertical="center" indent="1" readingOrder="2"/>
    </xf>
    <xf numFmtId="0" fontId="10" fillId="0" borderId="0" xfId="0" applyFont="1" applyAlignment="1">
      <alignment horizontal="right" vertical="center" indent="1" readingOrder="2"/>
    </xf>
    <xf numFmtId="0" fontId="10" fillId="0" borderId="28" xfId="0" applyFont="1" applyBorder="1" applyAlignment="1">
      <alignment horizontal="right" vertical="center" indent="1" readingOrder="2"/>
    </xf>
    <xf numFmtId="0" fontId="10" fillId="0" borderId="17" xfId="0" applyFont="1" applyBorder="1" applyAlignment="1">
      <alignment horizontal="right" vertical="center" indent="1" readingOrder="2"/>
    </xf>
    <xf numFmtId="0" fontId="10" fillId="0" borderId="34" xfId="0" applyFont="1" applyBorder="1" applyAlignment="1">
      <alignment horizontal="right" readingOrder="2"/>
    </xf>
    <xf numFmtId="0" fontId="10" fillId="0" borderId="35" xfId="0" applyFont="1" applyBorder="1" applyAlignment="1">
      <alignment horizontal="right" readingOrder="2"/>
    </xf>
    <xf numFmtId="0" fontId="0" fillId="0" borderId="26" xfId="0" applyBorder="1" applyAlignment="1">
      <alignment horizontal="right" indent="5"/>
    </xf>
    <xf numFmtId="0" fontId="0" fillId="0" borderId="0" xfId="0" applyAlignment="1">
      <alignment horizontal="right" indent="5"/>
    </xf>
    <xf numFmtId="0" fontId="40" fillId="0" borderId="25" xfId="0" applyFont="1" applyBorder="1" applyAlignment="1">
      <alignment horizontal="right" indent="1"/>
    </xf>
    <xf numFmtId="0" fontId="40" fillId="0" borderId="18" xfId="0" applyFont="1" applyBorder="1" applyAlignment="1">
      <alignment horizontal="right" indent="1"/>
    </xf>
    <xf numFmtId="0" fontId="0" fillId="0" borderId="26" xfId="0" applyBorder="1" applyAlignment="1">
      <alignment horizontal="right" vertical="center" indent="1"/>
    </xf>
    <xf numFmtId="0" fontId="0" fillId="0" borderId="0" xfId="0" applyAlignment="1">
      <alignment horizontal="right" vertical="center" indent="1"/>
    </xf>
    <xf numFmtId="49" fontId="0" fillId="0" borderId="18" xfId="0" applyNumberFormat="1" applyBorder="1" applyAlignment="1">
      <alignment horizontal="center"/>
    </xf>
    <xf numFmtId="0" fontId="42" fillId="0" borderId="17" xfId="0" applyFont="1" applyBorder="1" applyAlignment="1">
      <alignment horizontal="center" vertical="top"/>
    </xf>
    <xf numFmtId="0" fontId="42" fillId="0" borderId="29" xfId="0" applyFont="1" applyBorder="1" applyAlignment="1">
      <alignment horizontal="center" vertical="top"/>
    </xf>
    <xf numFmtId="0" fontId="50" fillId="0" borderId="0" xfId="0" applyFont="1" applyAlignment="1">
      <alignment horizontal="center"/>
    </xf>
    <xf numFmtId="0" fontId="50" fillId="0" borderId="27" xfId="0" applyFont="1" applyBorder="1" applyAlignment="1">
      <alignment horizontal="center"/>
    </xf>
    <xf numFmtId="0" fontId="0" fillId="0" borderId="60" xfId="0" applyBorder="1" applyAlignment="1">
      <alignment horizontal="center" vertical="center"/>
    </xf>
    <xf numFmtId="0" fontId="0" fillId="0" borderId="19" xfId="0" applyBorder="1" applyAlignment="1">
      <alignment horizontal="center" vertical="center"/>
    </xf>
    <xf numFmtId="0" fontId="50" fillId="0" borderId="18" xfId="0" applyFont="1" applyBorder="1" applyAlignment="1">
      <alignment horizontal="center"/>
    </xf>
    <xf numFmtId="0" fontId="10" fillId="0" borderId="26" xfId="0" applyFont="1" applyBorder="1" applyAlignment="1">
      <alignment horizontal="right" vertical="center"/>
    </xf>
    <xf numFmtId="0" fontId="22" fillId="0" borderId="26" xfId="0" applyFont="1" applyBorder="1" applyAlignment="1">
      <alignment horizontal="right" readingOrder="2"/>
    </xf>
    <xf numFmtId="0" fontId="22" fillId="0" borderId="0" xfId="0" applyFont="1" applyAlignment="1">
      <alignment horizontal="right" readingOrder="2"/>
    </xf>
    <xf numFmtId="0" fontId="22" fillId="0" borderId="27" xfId="0" applyFont="1" applyBorder="1" applyAlignment="1">
      <alignment horizontal="right" readingOrder="2"/>
    </xf>
    <xf numFmtId="0" fontId="10" fillId="0" borderId="26" xfId="0" applyFont="1" applyBorder="1" applyAlignment="1">
      <alignment horizontal="right" vertical="center" readingOrder="2"/>
    </xf>
    <xf numFmtId="0" fontId="48" fillId="0" borderId="26" xfId="0" applyFont="1" applyBorder="1" applyAlignment="1">
      <alignment horizontal="right" vertical="center" indent="1" readingOrder="2"/>
    </xf>
    <xf numFmtId="0" fontId="48" fillId="0" borderId="0" xfId="0" applyFont="1" applyAlignment="1">
      <alignment horizontal="right" vertical="center" indent="1" readingOrder="2"/>
    </xf>
    <xf numFmtId="0" fontId="48" fillId="0" borderId="27" xfId="0" applyFont="1" applyBorder="1" applyAlignment="1">
      <alignment horizontal="right" vertical="center" indent="1" readingOrder="2"/>
    </xf>
    <xf numFmtId="0" fontId="10" fillId="0" borderId="27" xfId="0" applyFont="1" applyBorder="1" applyAlignment="1">
      <alignment horizontal="right" vertical="center"/>
    </xf>
    <xf numFmtId="0" fontId="0" fillId="0" borderId="27" xfId="0" applyBorder="1" applyAlignment="1">
      <alignment horizontal="right" vertical="center"/>
    </xf>
    <xf numFmtId="0" fontId="7" fillId="0" borderId="62" xfId="0" applyFont="1" applyBorder="1" applyAlignment="1">
      <alignment horizontal="right" vertical="center" wrapText="1" readingOrder="2"/>
    </xf>
    <xf numFmtId="0" fontId="7" fillId="0" borderId="63" xfId="0" applyFont="1" applyBorder="1" applyAlignment="1">
      <alignment horizontal="right" vertical="center" wrapText="1" readingOrder="2"/>
    </xf>
    <xf numFmtId="0" fontId="7" fillId="0" borderId="59" xfId="0" applyFont="1" applyBorder="1" applyAlignment="1">
      <alignment horizontal="right" wrapText="1" readingOrder="2"/>
    </xf>
    <xf numFmtId="0" fontId="7" fillId="0" borderId="58" xfId="0" applyFont="1" applyBorder="1" applyAlignment="1">
      <alignment horizontal="right" wrapText="1" readingOrder="2"/>
    </xf>
    <xf numFmtId="0" fontId="44" fillId="0" borderId="0" xfId="0" applyFont="1" applyAlignment="1">
      <alignment horizontal="right" readingOrder="2"/>
    </xf>
    <xf numFmtId="0" fontId="47" fillId="0" borderId="0" xfId="0" applyFont="1" applyAlignment="1">
      <alignment horizontal="right" indent="1" readingOrder="2"/>
    </xf>
    <xf numFmtId="0" fontId="8" fillId="8" borderId="7" xfId="0" applyFont="1" applyFill="1" applyBorder="1" applyAlignment="1">
      <alignment horizontal="center" vertical="center" readingOrder="2"/>
    </xf>
    <xf numFmtId="0" fontId="8" fillId="8" borderId="13" xfId="0" applyFont="1" applyFill="1" applyBorder="1" applyAlignment="1">
      <alignment horizontal="center" vertical="center" readingOrder="2"/>
    </xf>
    <xf numFmtId="0" fontId="8" fillId="8" borderId="8" xfId="0" applyFont="1" applyFill="1" applyBorder="1" applyAlignment="1">
      <alignment horizontal="center" vertical="center" readingOrder="2"/>
    </xf>
    <xf numFmtId="0" fontId="7" fillId="0" borderId="10" xfId="0" applyFont="1" applyBorder="1" applyAlignment="1">
      <alignment horizontal="right" wrapText="1" readingOrder="2"/>
    </xf>
    <xf numFmtId="0" fontId="7" fillId="0" borderId="11" xfId="0" applyFont="1" applyBorder="1" applyAlignment="1">
      <alignment horizontal="right" wrapText="1" readingOrder="2"/>
    </xf>
    <xf numFmtId="0" fontId="0" fillId="0" borderId="25" xfId="0" applyBorder="1" applyAlignment="1">
      <alignment horizontal="right" vertical="top" wrapText="1"/>
    </xf>
    <xf numFmtId="0" fontId="0" fillId="0" borderId="18" xfId="0" applyBorder="1" applyAlignment="1">
      <alignment horizontal="right" vertical="top" wrapText="1"/>
    </xf>
    <xf numFmtId="0" fontId="0" fillId="0" borderId="48" xfId="0" applyBorder="1" applyAlignment="1">
      <alignment horizontal="right" vertical="top" wrapText="1"/>
    </xf>
    <xf numFmtId="0" fontId="7" fillId="8" borderId="2" xfId="0" applyFont="1" applyFill="1" applyBorder="1" applyAlignment="1">
      <alignment horizontal="center" vertical="center" readingOrder="2"/>
    </xf>
    <xf numFmtId="0" fontId="7" fillId="8" borderId="52" xfId="0" applyFont="1" applyFill="1" applyBorder="1" applyAlignment="1">
      <alignment horizontal="center" vertical="center" readingOrder="2"/>
    </xf>
    <xf numFmtId="0" fontId="7" fillId="8" borderId="3" xfId="0" applyFont="1" applyFill="1" applyBorder="1" applyAlignment="1">
      <alignment horizontal="center" vertical="center" readingOrder="2"/>
    </xf>
    <xf numFmtId="0" fontId="7" fillId="8" borderId="3"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4" xfId="0" applyFont="1" applyFill="1" applyBorder="1" applyAlignment="1">
      <alignment horizontal="center" vertical="center" readingOrder="2"/>
    </xf>
    <xf numFmtId="0" fontId="7" fillId="9" borderId="5" xfId="0" applyFont="1" applyFill="1" applyBorder="1" applyAlignment="1">
      <alignment horizontal="center" vertical="center" wrapText="1" readingOrder="2"/>
    </xf>
    <xf numFmtId="0" fontId="7" fillId="9" borderId="11" xfId="0" applyFont="1" applyFill="1" applyBorder="1" applyAlignment="1">
      <alignment horizontal="center" vertical="center" wrapText="1" readingOrder="2"/>
    </xf>
    <xf numFmtId="0" fontId="7" fillId="9" borderId="1" xfId="0" applyFont="1" applyFill="1" applyBorder="1" applyAlignment="1">
      <alignment horizontal="center" vertical="center" wrapText="1" readingOrder="2"/>
    </xf>
    <xf numFmtId="0" fontId="8" fillId="9" borderId="14" xfId="0" applyFont="1" applyFill="1" applyBorder="1" applyAlignment="1">
      <alignment horizontal="center" vertical="center" wrapText="1" readingOrder="2"/>
    </xf>
    <xf numFmtId="0" fontId="7" fillId="9" borderId="6" xfId="0" applyFont="1" applyFill="1" applyBorder="1" applyAlignment="1">
      <alignment horizontal="center" vertical="center" wrapText="1" readingOrder="2"/>
    </xf>
    <xf numFmtId="0" fontId="8" fillId="9" borderId="15" xfId="0" applyFont="1" applyFill="1" applyBorder="1" applyAlignment="1">
      <alignment horizontal="center" vertical="center" wrapText="1" readingOrder="2"/>
    </xf>
    <xf numFmtId="0" fontId="7" fillId="0" borderId="5" xfId="0" applyFont="1" applyBorder="1" applyAlignment="1">
      <alignment horizontal="center" vertical="center" wrapText="1" readingOrder="2"/>
    </xf>
    <xf numFmtId="0" fontId="7" fillId="0" borderId="14" xfId="0" applyFont="1" applyBorder="1" applyAlignment="1">
      <alignment horizontal="center" wrapText="1"/>
    </xf>
    <xf numFmtId="0" fontId="7" fillId="0" borderId="15" xfId="0" applyFont="1" applyBorder="1" applyAlignment="1">
      <alignment horizontal="center" wrapText="1"/>
    </xf>
    <xf numFmtId="0" fontId="7" fillId="0" borderId="1" xfId="0" applyFont="1" applyBorder="1" applyAlignment="1">
      <alignment horizontal="center" vertical="center" wrapText="1" readingOrder="2"/>
    </xf>
    <xf numFmtId="0" fontId="7" fillId="0" borderId="6" xfId="0" applyFont="1" applyBorder="1" applyAlignment="1">
      <alignment horizontal="center" wrapText="1"/>
    </xf>
    <xf numFmtId="0" fontId="7" fillId="0" borderId="10" xfId="0" applyFont="1" applyBorder="1" applyAlignment="1">
      <alignment horizontal="center" wrapText="1" readingOrder="2"/>
    </xf>
    <xf numFmtId="0" fontId="7" fillId="0" borderId="11" xfId="0" applyFont="1" applyBorder="1" applyAlignment="1">
      <alignment horizontal="center" wrapText="1" readingOrder="2"/>
    </xf>
    <xf numFmtId="0" fontId="13" fillId="0" borderId="10" xfId="0" applyFont="1" applyBorder="1" applyAlignment="1">
      <alignment horizontal="center" vertical="center" wrapText="1" readingOrder="2"/>
    </xf>
    <xf numFmtId="0" fontId="13" fillId="0" borderId="11" xfId="0" applyFont="1" applyBorder="1" applyAlignment="1">
      <alignment horizontal="center" vertical="center" wrapText="1" readingOrder="2"/>
    </xf>
    <xf numFmtId="0" fontId="11" fillId="2" borderId="10" xfId="0" applyFont="1" applyFill="1" applyBorder="1" applyAlignment="1">
      <alignment horizontal="center" vertical="center" wrapText="1" readingOrder="2"/>
    </xf>
    <xf numFmtId="0" fontId="11" fillId="2" borderId="11" xfId="0" applyFont="1" applyFill="1" applyBorder="1" applyAlignment="1">
      <alignment horizontal="center" vertical="center" wrapText="1" readingOrder="2"/>
    </xf>
    <xf numFmtId="0" fontId="19" fillId="2" borderId="10" xfId="0" applyFont="1" applyFill="1" applyBorder="1" applyAlignment="1">
      <alignment horizontal="center" vertical="center" wrapText="1" readingOrder="2"/>
    </xf>
    <xf numFmtId="0" fontId="19" fillId="2" borderId="11" xfId="0" applyFont="1" applyFill="1" applyBorder="1" applyAlignment="1">
      <alignment horizontal="center" vertical="center" wrapText="1" readingOrder="2"/>
    </xf>
    <xf numFmtId="0" fontId="3" fillId="0" borderId="10" xfId="0" applyFont="1" applyBorder="1" applyAlignment="1">
      <alignment horizontal="center" vertical="center" wrapText="1" readingOrder="2"/>
    </xf>
    <xf numFmtId="0" fontId="3" fillId="0" borderId="11" xfId="0" applyFont="1" applyBorder="1" applyAlignment="1">
      <alignment horizontal="center" vertical="center" wrapText="1" readingOrder="2"/>
    </xf>
    <xf numFmtId="0" fontId="2" fillId="0" borderId="10" xfId="0" applyFont="1" applyBorder="1" applyAlignment="1">
      <alignment horizontal="center" vertical="center" wrapText="1" readingOrder="2"/>
    </xf>
    <xf numFmtId="0" fontId="2" fillId="0" borderId="11" xfId="0" applyFont="1" applyBorder="1" applyAlignment="1">
      <alignment horizontal="center" vertical="center" wrapText="1" readingOrder="2"/>
    </xf>
    <xf numFmtId="0" fontId="3" fillId="2" borderId="10" xfId="0" applyFont="1" applyFill="1" applyBorder="1" applyAlignment="1">
      <alignment horizontal="center" vertical="center" wrapText="1" readingOrder="2"/>
    </xf>
    <xf numFmtId="0" fontId="3" fillId="2" borderId="11" xfId="0" applyFont="1" applyFill="1" applyBorder="1" applyAlignment="1">
      <alignment horizontal="center" vertical="center" wrapText="1" readingOrder="2"/>
    </xf>
    <xf numFmtId="9" fontId="11" fillId="0" borderId="10" xfId="0" applyNumberFormat="1" applyFont="1" applyBorder="1" applyAlignment="1">
      <alignment horizontal="center" vertical="center" wrapText="1" readingOrder="2"/>
    </xf>
    <xf numFmtId="9" fontId="11" fillId="0" borderId="49" xfId="0" applyNumberFormat="1" applyFont="1" applyBorder="1" applyAlignment="1">
      <alignment horizontal="center" vertical="center" wrapText="1" readingOrder="2"/>
    </xf>
    <xf numFmtId="9" fontId="11" fillId="0" borderId="11" xfId="0" applyNumberFormat="1" applyFont="1" applyBorder="1" applyAlignment="1">
      <alignment horizontal="center" vertical="center" wrapText="1" readingOrder="2"/>
    </xf>
    <xf numFmtId="0" fontId="11" fillId="2" borderId="49" xfId="0" applyFont="1" applyFill="1" applyBorder="1" applyAlignment="1">
      <alignment horizontal="center" vertical="center" wrapText="1" readingOrder="2"/>
    </xf>
    <xf numFmtId="0" fontId="13" fillId="4" borderId="10" xfId="0" applyFont="1" applyFill="1" applyBorder="1" applyAlignment="1">
      <alignment horizontal="right" vertical="center" wrapText="1" readingOrder="2"/>
    </xf>
    <xf numFmtId="0" fontId="13" fillId="4" borderId="49" xfId="0" applyFont="1" applyFill="1" applyBorder="1" applyAlignment="1">
      <alignment horizontal="right" vertical="center" wrapText="1" readingOrder="2"/>
    </xf>
    <xf numFmtId="0" fontId="13" fillId="4" borderId="11" xfId="0" applyFont="1" applyFill="1" applyBorder="1" applyAlignment="1">
      <alignment horizontal="right" vertical="center" wrapText="1" readingOrder="2"/>
    </xf>
    <xf numFmtId="0" fontId="13" fillId="4" borderId="10" xfId="0" applyFont="1" applyFill="1" applyBorder="1" applyAlignment="1">
      <alignment horizontal="center" vertical="center" wrapText="1" readingOrder="2"/>
    </xf>
    <xf numFmtId="0" fontId="13" fillId="4" borderId="49" xfId="0" applyFont="1" applyFill="1" applyBorder="1" applyAlignment="1">
      <alignment horizontal="center" vertical="center" wrapText="1" readingOrder="2"/>
    </xf>
    <xf numFmtId="0" fontId="13" fillId="4" borderId="11" xfId="0" applyFont="1" applyFill="1" applyBorder="1" applyAlignment="1">
      <alignment horizontal="center" vertical="center" wrapText="1" readingOrder="2"/>
    </xf>
    <xf numFmtId="0" fontId="1" fillId="0" borderId="10" xfId="0" applyFont="1" applyBorder="1" applyAlignment="1">
      <alignment horizontal="center" vertical="center"/>
    </xf>
    <xf numFmtId="0" fontId="1" fillId="0" borderId="49" xfId="0" applyFont="1" applyBorder="1" applyAlignment="1">
      <alignment horizontal="center" vertical="center"/>
    </xf>
    <xf numFmtId="0" fontId="1" fillId="0" borderId="11" xfId="0" applyFont="1" applyBorder="1" applyAlignment="1">
      <alignment horizontal="center" vertical="center"/>
    </xf>
    <xf numFmtId="0" fontId="3" fillId="4" borderId="1" xfId="0" applyFont="1" applyFill="1" applyBorder="1" applyAlignment="1">
      <alignment horizontal="right" vertical="center" wrapText="1" readingOrder="2"/>
    </xf>
    <xf numFmtId="0" fontId="3" fillId="0" borderId="1" xfId="0" applyFont="1" applyBorder="1" applyAlignment="1">
      <alignment horizontal="right" vertical="center" wrapText="1" readingOrder="2"/>
    </xf>
    <xf numFmtId="0" fontId="1" fillId="4" borderId="10" xfId="0" applyFont="1" applyFill="1" applyBorder="1" applyAlignment="1">
      <alignment horizontal="center" vertical="center" wrapText="1"/>
    </xf>
    <xf numFmtId="0" fontId="1" fillId="4" borderId="49"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6" fillId="0" borderId="0" xfId="0" applyFont="1" applyAlignment="1">
      <alignment horizontal="center" vertical="center" readingOrder="2"/>
    </xf>
    <xf numFmtId="0" fontId="16" fillId="2" borderId="3" xfId="0" applyFont="1" applyFill="1" applyBorder="1" applyAlignment="1">
      <alignment vertical="center" wrapText="1" readingOrder="2"/>
    </xf>
    <xf numFmtId="0" fontId="16" fillId="2" borderId="4" xfId="0" applyFont="1" applyFill="1" applyBorder="1" applyAlignment="1">
      <alignment vertical="center" wrapText="1" readingOrder="2"/>
    </xf>
    <xf numFmtId="0" fontId="13" fillId="0" borderId="1" xfId="0" applyFont="1" applyBorder="1" applyAlignment="1">
      <alignment horizontal="right" vertical="center" wrapText="1" readingOrder="2"/>
    </xf>
    <xf numFmtId="0" fontId="11" fillId="2" borderId="2" xfId="0" applyFont="1" applyFill="1" applyBorder="1" applyAlignment="1">
      <alignment vertical="center" wrapText="1" readingOrder="2"/>
    </xf>
    <xf numFmtId="0" fontId="11" fillId="2" borderId="3" xfId="0" applyFont="1" applyFill="1" applyBorder="1" applyAlignment="1">
      <alignment vertical="center" wrapText="1" readingOrder="2"/>
    </xf>
    <xf numFmtId="0" fontId="11" fillId="2" borderId="4" xfId="0" applyFont="1" applyFill="1" applyBorder="1" applyAlignment="1">
      <alignment vertical="center" wrapText="1" readingOrder="2"/>
    </xf>
    <xf numFmtId="0" fontId="4" fillId="2" borderId="5" xfId="0" applyFont="1" applyFill="1" applyBorder="1" applyAlignment="1">
      <alignment horizontal="center" vertical="center" wrapText="1" readingOrder="2"/>
    </xf>
    <xf numFmtId="0" fontId="4" fillId="2" borderId="1" xfId="0" applyFont="1" applyFill="1" applyBorder="1" applyAlignment="1">
      <alignment vertical="center" wrapText="1" readingOrder="2"/>
    </xf>
    <xf numFmtId="0" fontId="4" fillId="2" borderId="6" xfId="0" applyFont="1" applyFill="1" applyBorder="1" applyAlignment="1">
      <alignment vertical="center" wrapText="1" readingOrder="2"/>
    </xf>
    <xf numFmtId="0" fontId="12" fillId="2" borderId="1" xfId="0" applyFont="1" applyFill="1" applyBorder="1" applyAlignment="1">
      <alignment vertical="center" wrapText="1" readingOrder="2"/>
    </xf>
    <xf numFmtId="0" fontId="12" fillId="2" borderId="6" xfId="0" applyFont="1" applyFill="1" applyBorder="1" applyAlignment="1">
      <alignment vertical="center" wrapText="1" readingOrder="2"/>
    </xf>
    <xf numFmtId="0" fontId="3" fillId="4" borderId="8" xfId="0" applyFont="1" applyFill="1" applyBorder="1" applyAlignment="1">
      <alignment horizontal="right" vertical="center" wrapText="1" readingOrder="2"/>
    </xf>
    <xf numFmtId="0" fontId="13" fillId="4" borderId="12" xfId="0" applyFont="1" applyFill="1" applyBorder="1" applyAlignment="1">
      <alignment horizontal="center" vertical="center" wrapText="1" readingOrder="2"/>
    </xf>
    <xf numFmtId="0" fontId="13" fillId="4" borderId="55" xfId="0" applyFont="1" applyFill="1" applyBorder="1" applyAlignment="1">
      <alignment horizontal="center" vertical="center" wrapText="1" readingOrder="2"/>
    </xf>
    <xf numFmtId="0" fontId="13" fillId="4" borderId="13" xfId="0" applyFont="1" applyFill="1" applyBorder="1" applyAlignment="1">
      <alignment horizontal="center" vertical="center" wrapText="1" readingOrder="2"/>
    </xf>
    <xf numFmtId="0" fontId="3" fillId="2" borderId="49" xfId="0" applyFont="1" applyFill="1" applyBorder="1" applyAlignment="1">
      <alignment horizontal="center" vertical="center" wrapText="1" readingOrder="2"/>
    </xf>
    <xf numFmtId="49" fontId="0" fillId="0" borderId="0" xfId="0" applyNumberFormat="1" applyAlignment="1">
      <alignment horizontal="center"/>
    </xf>
    <xf numFmtId="0" fontId="5" fillId="2" borderId="59" xfId="0" applyFont="1" applyFill="1" applyBorder="1" applyAlignment="1">
      <alignment horizontal="right" vertical="center" wrapText="1" indent="1" readingOrder="2"/>
    </xf>
    <xf numFmtId="0" fontId="5" fillId="2" borderId="58" xfId="0" applyFont="1" applyFill="1" applyBorder="1" applyAlignment="1">
      <alignment horizontal="right" vertical="center" wrapText="1" indent="1" readingOrder="2"/>
    </xf>
    <xf numFmtId="0" fontId="5" fillId="0" borderId="10" xfId="0" applyFont="1" applyBorder="1" applyAlignment="1">
      <alignment horizontal="right" vertical="center" wrapText="1" indent="1" readingOrder="2"/>
    </xf>
    <xf numFmtId="0" fontId="5" fillId="0" borderId="11" xfId="0" applyFont="1" applyBorder="1" applyAlignment="1">
      <alignment horizontal="right" vertical="center" wrapText="1" indent="1" readingOrder="2"/>
    </xf>
    <xf numFmtId="0" fontId="4" fillId="0" borderId="10" xfId="0" applyFont="1" applyBorder="1" applyAlignment="1">
      <alignment horizontal="right" vertical="center" wrapText="1" indent="1" readingOrder="2"/>
    </xf>
    <xf numFmtId="0" fontId="4" fillId="0" borderId="11" xfId="0" applyFont="1" applyBorder="1" applyAlignment="1">
      <alignment horizontal="right" vertical="center" wrapText="1" indent="1" readingOrder="2"/>
    </xf>
    <xf numFmtId="0" fontId="1" fillId="4" borderId="12" xfId="0" applyFont="1" applyFill="1" applyBorder="1" applyAlignment="1">
      <alignment horizontal="center" vertical="center"/>
    </xf>
    <xf numFmtId="0" fontId="1" fillId="4" borderId="55" xfId="0" applyFont="1" applyFill="1" applyBorder="1" applyAlignment="1">
      <alignment horizontal="center" vertical="center"/>
    </xf>
    <xf numFmtId="0" fontId="1" fillId="4" borderId="13" xfId="0" applyFont="1" applyFill="1" applyBorder="1" applyAlignment="1">
      <alignment horizontal="center" vertical="center"/>
    </xf>
    <xf numFmtId="0" fontId="3" fillId="2" borderId="68" xfId="0" applyFont="1" applyFill="1" applyBorder="1" applyAlignment="1">
      <alignment horizontal="right" vertical="center"/>
    </xf>
    <xf numFmtId="0" fontId="3" fillId="2" borderId="55" xfId="0" applyFont="1" applyFill="1" applyBorder="1" applyAlignment="1">
      <alignment horizontal="right" vertical="center"/>
    </xf>
    <xf numFmtId="0" fontId="3" fillId="2" borderId="56" xfId="0" applyFont="1" applyFill="1" applyBorder="1" applyAlignment="1">
      <alignment horizontal="right" vertical="center"/>
    </xf>
    <xf numFmtId="0" fontId="3" fillId="2" borderId="50" xfId="0" applyFont="1" applyFill="1" applyBorder="1" applyAlignment="1">
      <alignment horizontal="center" vertical="center" wrapText="1" readingOrder="2"/>
    </xf>
    <xf numFmtId="0" fontId="3" fillId="2" borderId="51" xfId="0" applyFont="1" applyFill="1" applyBorder="1" applyAlignment="1">
      <alignment horizontal="center" vertical="center" wrapText="1" readingOrder="2"/>
    </xf>
    <xf numFmtId="0" fontId="18" fillId="2" borderId="2" xfId="0" applyFont="1" applyFill="1" applyBorder="1" applyAlignment="1">
      <alignment horizontal="center" vertical="center" readingOrder="2"/>
    </xf>
    <xf numFmtId="0" fontId="18" fillId="2" borderId="5" xfId="0" applyFont="1" applyFill="1" applyBorder="1" applyAlignment="1">
      <alignment horizontal="center" vertical="center" readingOrder="2"/>
    </xf>
    <xf numFmtId="0" fontId="3" fillId="2" borderId="52" xfId="0" applyFont="1" applyFill="1" applyBorder="1" applyAlignment="1">
      <alignment horizontal="center" vertical="center" wrapText="1" readingOrder="2"/>
    </xf>
    <xf numFmtId="0" fontId="6" fillId="3" borderId="0" xfId="0" applyFont="1" applyFill="1" applyAlignment="1">
      <alignment horizontal="center" vertical="center" wrapText="1" readingOrder="2"/>
    </xf>
    <xf numFmtId="49" fontId="10" fillId="0" borderId="0" xfId="0" applyNumberFormat="1" applyFont="1" applyAlignment="1">
      <alignment horizontal="center"/>
    </xf>
    <xf numFmtId="0" fontId="4" fillId="2" borderId="2" xfId="0" applyFont="1" applyFill="1" applyBorder="1" applyAlignment="1">
      <alignment horizontal="center" vertical="center" wrapText="1" readingOrder="2"/>
    </xf>
    <xf numFmtId="0" fontId="5" fillId="2" borderId="3" xfId="0" applyFont="1" applyFill="1" applyBorder="1" applyAlignment="1">
      <alignment horizontal="center" vertical="center" wrapText="1" readingOrder="2"/>
    </xf>
    <xf numFmtId="0" fontId="5" fillId="2" borderId="1" xfId="0" applyFont="1" applyFill="1" applyBorder="1" applyAlignment="1">
      <alignment horizontal="center" vertical="center" wrapText="1" readingOrder="2"/>
    </xf>
    <xf numFmtId="0" fontId="4" fillId="2" borderId="3" xfId="0" applyFont="1" applyFill="1" applyBorder="1" applyAlignment="1">
      <alignment horizontal="center" vertical="center" textRotation="90" readingOrder="2"/>
    </xf>
    <xf numFmtId="0" fontId="4" fillId="2" borderId="1" xfId="0" applyFont="1" applyFill="1" applyBorder="1" applyAlignment="1">
      <alignment horizontal="center" vertical="center" textRotation="90" readingOrder="2"/>
    </xf>
    <xf numFmtId="0" fontId="4" fillId="2" borderId="3" xfId="0" applyFont="1" applyFill="1" applyBorder="1" applyAlignment="1">
      <alignment horizontal="center" vertical="center" readingOrder="2"/>
    </xf>
    <xf numFmtId="0" fontId="4" fillId="2" borderId="4" xfId="0" applyFont="1" applyFill="1" applyBorder="1" applyAlignment="1">
      <alignment horizontal="center" vertical="center" readingOrder="2"/>
    </xf>
    <xf numFmtId="0" fontId="4" fillId="2" borderId="2" xfId="0" applyFont="1" applyFill="1" applyBorder="1" applyAlignment="1">
      <alignment horizontal="center" wrapText="1" readingOrder="2"/>
    </xf>
    <xf numFmtId="0" fontId="4" fillId="2" borderId="5" xfId="0" applyFont="1" applyFill="1" applyBorder="1" applyAlignment="1">
      <alignment horizontal="center" wrapText="1" readingOrder="2"/>
    </xf>
    <xf numFmtId="0" fontId="5" fillId="2" borderId="3" xfId="0" applyFont="1" applyFill="1" applyBorder="1" applyAlignment="1">
      <alignment horizontal="center" wrapText="1" readingOrder="2"/>
    </xf>
    <xf numFmtId="0" fontId="5" fillId="2" borderId="1" xfId="0" applyFont="1" applyFill="1" applyBorder="1" applyAlignment="1">
      <alignment horizontal="center" wrapText="1" readingOrder="2"/>
    </xf>
    <xf numFmtId="0" fontId="4" fillId="2" borderId="3" xfId="0" applyFont="1" applyFill="1" applyBorder="1" applyAlignment="1">
      <alignment horizontal="center" textRotation="90" readingOrder="2"/>
    </xf>
    <xf numFmtId="0" fontId="4" fillId="2" borderId="1" xfId="0" applyFont="1" applyFill="1" applyBorder="1" applyAlignment="1">
      <alignment horizontal="center" textRotation="90" readingOrder="2"/>
    </xf>
    <xf numFmtId="0" fontId="4" fillId="2" borderId="3" xfId="0" applyFont="1" applyFill="1" applyBorder="1" applyAlignment="1">
      <alignment horizontal="center" readingOrder="2"/>
    </xf>
    <xf numFmtId="0" fontId="4" fillId="2" borderId="4" xfId="0" applyFont="1" applyFill="1" applyBorder="1" applyAlignment="1">
      <alignment horizontal="center" readingOrder="2"/>
    </xf>
    <xf numFmtId="0" fontId="7" fillId="0" borderId="0" xfId="0" applyFont="1" applyAlignment="1">
      <alignment horizontal="right" vertical="center" wrapText="1" indent="4" readingOrder="2"/>
    </xf>
    <xf numFmtId="0" fontId="5" fillId="2" borderId="3" xfId="0" applyFont="1" applyFill="1" applyBorder="1" applyAlignment="1">
      <alignment horizontal="center" vertical="center" readingOrder="2"/>
    </xf>
    <xf numFmtId="0" fontId="28" fillId="0" borderId="0" xfId="0" applyFont="1" applyAlignment="1">
      <alignment horizontal="right" vertical="center" indent="1" readingOrder="2"/>
    </xf>
    <xf numFmtId="0" fontId="28" fillId="0" borderId="0" xfId="0" applyFont="1" applyAlignment="1">
      <alignment horizontal="right" vertical="center" readingOrder="2"/>
    </xf>
    <xf numFmtId="0" fontId="6" fillId="0" borderId="0" xfId="0" applyFont="1" applyAlignment="1">
      <alignment horizontal="center" vertical="center" wrapText="1" readingOrder="2"/>
    </xf>
    <xf numFmtId="0" fontId="4" fillId="2" borderId="2" xfId="0" applyFont="1" applyFill="1" applyBorder="1" applyAlignment="1">
      <alignment vertical="center" wrapText="1" readingOrder="2"/>
    </xf>
    <xf numFmtId="0" fontId="4" fillId="2" borderId="5" xfId="0" applyFont="1" applyFill="1" applyBorder="1" applyAlignment="1">
      <alignment vertical="center" wrapText="1" readingOrder="2"/>
    </xf>
    <xf numFmtId="0" fontId="40" fillId="0" borderId="0" xfId="0" applyFont="1" applyAlignment="1">
      <alignment horizontal="right" vertical="center" readingOrder="2"/>
    </xf>
    <xf numFmtId="0" fontId="7" fillId="0" borderId="18" xfId="0" applyFont="1" applyBorder="1" applyAlignment="1">
      <alignment horizontal="right" vertical="center" wrapText="1" indent="1" readingOrder="2"/>
    </xf>
    <xf numFmtId="0" fontId="7" fillId="0" borderId="0" xfId="0" applyFont="1" applyAlignment="1">
      <alignment horizontal="right" vertical="center" wrapText="1" indent="1" readingOrder="2"/>
    </xf>
    <xf numFmtId="0" fontId="68" fillId="0" borderId="0" xfId="0" applyFont="1" applyAlignment="1">
      <alignment horizontal="center" vertical="center" wrapText="1" readingOrder="2"/>
    </xf>
    <xf numFmtId="0" fontId="5" fillId="4" borderId="5" xfId="0" applyFont="1" applyFill="1" applyBorder="1" applyAlignment="1">
      <alignment horizontal="right" vertical="center" wrapText="1" readingOrder="2"/>
    </xf>
    <xf numFmtId="0" fontId="5" fillId="4" borderId="7" xfId="0" applyFont="1" applyFill="1" applyBorder="1" applyAlignment="1">
      <alignment horizontal="right" vertical="center" wrapText="1" readingOrder="2"/>
    </xf>
    <xf numFmtId="0" fontId="9" fillId="4" borderId="1" xfId="0" applyFont="1" applyFill="1" applyBorder="1" applyAlignment="1">
      <alignment horizontal="center" vertical="center"/>
    </xf>
    <xf numFmtId="0" fontId="9" fillId="4" borderId="8" xfId="0" applyFont="1" applyFill="1" applyBorder="1" applyAlignment="1">
      <alignment horizontal="center" vertical="center"/>
    </xf>
    <xf numFmtId="3" fontId="23" fillId="4" borderId="1" xfId="0" applyNumberFormat="1" applyFont="1" applyFill="1" applyBorder="1" applyAlignment="1">
      <alignment horizontal="center" vertical="center"/>
    </xf>
    <xf numFmtId="3" fontId="23" fillId="4" borderId="8" xfId="0" applyNumberFormat="1"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30" fillId="2" borderId="3" xfId="0" applyFont="1" applyFill="1" applyBorder="1" applyAlignment="1">
      <alignment vertical="center" wrapText="1" readingOrder="2"/>
    </xf>
    <xf numFmtId="0" fontId="30" fillId="2" borderId="1" xfId="0" applyFont="1" applyFill="1" applyBorder="1" applyAlignment="1">
      <alignment vertical="center" wrapText="1" readingOrder="2"/>
    </xf>
    <xf numFmtId="0" fontId="8" fillId="4" borderId="5" xfId="0" applyFont="1" applyFill="1" applyBorder="1" applyAlignment="1">
      <alignment horizontal="right" vertical="center" wrapText="1" readingOrder="2"/>
    </xf>
    <xf numFmtId="0" fontId="1" fillId="4" borderId="1" xfId="0" applyFont="1" applyFill="1" applyBorder="1" applyAlignment="1">
      <alignment horizontal="center" vertical="center"/>
    </xf>
    <xf numFmtId="3" fontId="23" fillId="0" borderId="14" xfId="0" applyNumberFormat="1" applyFont="1" applyBorder="1" applyAlignment="1">
      <alignment horizontal="center" vertical="center"/>
    </xf>
    <xf numFmtId="3" fontId="23" fillId="0" borderId="15" xfId="0" applyNumberFormat="1" applyFont="1" applyBorder="1" applyAlignment="1">
      <alignment horizontal="center" vertical="center"/>
    </xf>
    <xf numFmtId="0" fontId="1" fillId="3" borderId="6" xfId="0" applyFont="1" applyFill="1" applyBorder="1" applyAlignment="1">
      <alignment horizontal="center" vertical="center"/>
    </xf>
    <xf numFmtId="0" fontId="6" fillId="3" borderId="17" xfId="0" applyFont="1" applyFill="1" applyBorder="1" applyAlignment="1">
      <alignment horizontal="center" wrapText="1" readingOrder="2"/>
    </xf>
    <xf numFmtId="0" fontId="73" fillId="0" borderId="0" xfId="0" applyFont="1" applyAlignment="1">
      <alignment horizontal="center" vertical="center" wrapText="1" readingOrder="2"/>
    </xf>
    <xf numFmtId="0" fontId="5" fillId="2" borderId="4" xfId="0" applyFont="1" applyFill="1" applyBorder="1" applyAlignment="1">
      <alignment horizontal="center" vertical="center" readingOrder="2"/>
    </xf>
    <xf numFmtId="0" fontId="7" fillId="0" borderId="18" xfId="0" applyFont="1" applyBorder="1" applyAlignment="1">
      <alignment horizontal="right" vertical="center" readingOrder="2"/>
    </xf>
    <xf numFmtId="0" fontId="16" fillId="0" borderId="18" xfId="0" applyFont="1" applyBorder="1" applyAlignment="1">
      <alignment horizontal="right" vertical="center" readingOrder="2"/>
    </xf>
    <xf numFmtId="0" fontId="1" fillId="0" borderId="6" xfId="0" applyFont="1" applyBorder="1" applyAlignment="1">
      <alignment horizontal="center" vertical="center"/>
    </xf>
    <xf numFmtId="0" fontId="1" fillId="0" borderId="9" xfId="0" applyFont="1" applyBorder="1" applyAlignment="1">
      <alignment horizontal="center" vertical="center"/>
    </xf>
    <xf numFmtId="0" fontId="6" fillId="0" borderId="0" xfId="0" applyFont="1" applyAlignment="1">
      <alignment horizontal="center" readingOrder="2"/>
    </xf>
    <xf numFmtId="0" fontId="8" fillId="2" borderId="5" xfId="0" applyFont="1" applyFill="1" applyBorder="1" applyAlignment="1">
      <alignment horizontal="center" vertical="center" wrapText="1" readingOrder="2"/>
    </xf>
    <xf numFmtId="0" fontId="8" fillId="2" borderId="1" xfId="0" applyFont="1" applyFill="1" applyBorder="1" applyAlignment="1">
      <alignment horizontal="center" vertical="center" wrapText="1" readingOrder="2"/>
    </xf>
    <xf numFmtId="0" fontId="8" fillId="2" borderId="6" xfId="0" applyFont="1" applyFill="1" applyBorder="1" applyAlignment="1">
      <alignment horizontal="center" vertical="center" wrapText="1" readingOrder="2"/>
    </xf>
    <xf numFmtId="0" fontId="6" fillId="0" borderId="17" xfId="0" applyFont="1" applyBorder="1" applyAlignment="1">
      <alignment horizontal="center" readingOrder="2"/>
    </xf>
    <xf numFmtId="49" fontId="10" fillId="0" borderId="0" xfId="0" applyNumberFormat="1" applyFont="1" applyAlignment="1">
      <alignment horizontal="center" vertical="center" wrapText="1" readingOrder="2"/>
    </xf>
    <xf numFmtId="0" fontId="10" fillId="0" borderId="0" xfId="0" applyFont="1" applyAlignment="1">
      <alignment horizontal="right" vertical="center" wrapText="1" readingOrder="2"/>
    </xf>
    <xf numFmtId="0" fontId="10" fillId="0" borderId="0" xfId="0" applyFont="1" applyAlignment="1">
      <alignment horizontal="right" vertical="center" wrapText="1" indent="1" readingOrder="2"/>
    </xf>
    <xf numFmtId="0" fontId="54" fillId="0" borderId="0" xfId="0" applyFont="1" applyAlignment="1">
      <alignment horizontal="right" wrapText="1" readingOrder="2"/>
    </xf>
    <xf numFmtId="0" fontId="58" fillId="0" borderId="0" xfId="0" applyFont="1" applyAlignment="1">
      <alignment horizontal="right" vertical="center" wrapText="1" readingOrder="2"/>
    </xf>
    <xf numFmtId="0" fontId="57" fillId="0" borderId="0" xfId="0" applyFont="1" applyAlignment="1">
      <alignment horizontal="right" wrapText="1" readingOrder="2"/>
    </xf>
    <xf numFmtId="0" fontId="10" fillId="0" borderId="0" xfId="0" applyFont="1" applyAlignment="1">
      <alignment horizontal="right" vertical="center" wrapText="1" indent="3" readingOrder="2"/>
    </xf>
    <xf numFmtId="0" fontId="10" fillId="0" borderId="0" xfId="0" applyFont="1" applyAlignment="1">
      <alignment horizontal="right" vertical="top" wrapText="1" readingOrder="2"/>
    </xf>
    <xf numFmtId="0" fontId="55" fillId="0" borderId="0" xfId="0" applyFont="1" applyAlignment="1">
      <alignment horizontal="right" vertical="center" wrapText="1" readingOrder="2"/>
    </xf>
    <xf numFmtId="0" fontId="56" fillId="0" borderId="0" xfId="0" applyFont="1" applyAlignment="1">
      <alignment horizontal="right" vertical="center" wrapText="1" readingOrder="2"/>
    </xf>
    <xf numFmtId="0" fontId="52" fillId="0" borderId="0" xfId="0" applyFont="1" applyAlignment="1">
      <alignment horizontal="center" vertical="center" wrapText="1"/>
    </xf>
    <xf numFmtId="49" fontId="0" fillId="0" borderId="40" xfId="0" applyNumberFormat="1" applyBorder="1" applyAlignment="1">
      <alignment horizontal="center"/>
    </xf>
    <xf numFmtId="0" fontId="51" fillId="0" borderId="0" xfId="0" applyFont="1" applyAlignment="1">
      <alignment horizontal="center" vertical="center" readingOrder="2"/>
    </xf>
    <xf numFmtId="0" fontId="29" fillId="0" borderId="19" xfId="0" applyFont="1" applyBorder="1" applyAlignment="1">
      <alignment horizontal="right" vertical="center"/>
    </xf>
  </cellXfs>
  <cellStyles count="3">
    <cellStyle name="40% - تمييز1" xfId="1" builtinId="31"/>
    <cellStyle name="Normal 2" xfId="2" xr:uid="{00000000-0005-0000-0000-000002000000}"/>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theme" Target="theme/theme1.xml" /><Relationship Id="rId5" Type="http://schemas.openxmlformats.org/officeDocument/2006/relationships/worksheet" Target="worksheets/sheet5.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calcChain" Target="calcChain.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14</xdr:col>
      <xdr:colOff>15426</xdr:colOff>
      <xdr:row>0</xdr:row>
      <xdr:rowOff>145404</xdr:rowOff>
    </xdr:from>
    <xdr:to>
      <xdr:col>18</xdr:col>
      <xdr:colOff>51322</xdr:colOff>
      <xdr:row>5</xdr:row>
      <xdr:rowOff>82998</xdr:rowOff>
    </xdr:to>
    <xdr:pic>
      <xdr:nvPicPr>
        <xdr:cNvPr id="2" name="صورة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11216131478" y="145404"/>
          <a:ext cx="874096" cy="7591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1.xml" /><Relationship Id="rId1" Type="http://schemas.openxmlformats.org/officeDocument/2006/relationships/printerSettings" Target="../printerSettings/printerSettings4.bin" /><Relationship Id="rId4" Type="http://schemas.openxmlformats.org/officeDocument/2006/relationships/comments" Target="../comments1.xml"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 /><Relationship Id="rId2" Type="http://schemas.openxmlformats.org/officeDocument/2006/relationships/vmlDrawing" Target="../drawings/vmlDrawing2.vml" /><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
  <sheetViews>
    <sheetView rightToLeft="1" workbookViewId="0">
      <selection activeCell="A16" sqref="A16:I16"/>
    </sheetView>
  </sheetViews>
  <sheetFormatPr defaultRowHeight="13.5" x14ac:dyDescent="0.15"/>
  <cols>
    <col min="1" max="1" width="14.21875" customWidth="1"/>
    <col min="2" max="3" width="10.54296875" customWidth="1"/>
    <col min="4" max="4" width="10.171875" customWidth="1"/>
    <col min="5" max="5" width="2.44921875" customWidth="1"/>
    <col min="6" max="6" width="14.21875" customWidth="1"/>
    <col min="7" max="8" width="10.54296875" customWidth="1"/>
    <col min="9" max="9" width="10.171875" customWidth="1"/>
  </cols>
  <sheetData>
    <row r="1" spans="1:9" ht="14.25" thickBot="1" x14ac:dyDescent="0.2">
      <c r="A1" s="378" t="s">
        <v>428</v>
      </c>
      <c r="B1" s="378"/>
      <c r="C1" s="363"/>
      <c r="D1" s="363"/>
      <c r="E1" s="363"/>
      <c r="F1" s="363"/>
      <c r="G1" s="363"/>
      <c r="H1" s="363"/>
      <c r="I1" s="363"/>
    </row>
    <row r="2" spans="1:9" ht="21" customHeight="1" x14ac:dyDescent="0.15">
      <c r="A2" s="499" t="s">
        <v>415</v>
      </c>
      <c r="B2" s="500"/>
      <c r="C2" s="501"/>
      <c r="D2" s="501"/>
      <c r="E2" s="502"/>
      <c r="F2" s="501" t="s">
        <v>416</v>
      </c>
      <c r="G2" s="501"/>
      <c r="H2" s="501"/>
      <c r="I2" s="504"/>
    </row>
    <row r="3" spans="1:9" ht="15.95" customHeight="1" x14ac:dyDescent="0.15">
      <c r="A3" s="505" t="s">
        <v>417</v>
      </c>
      <c r="B3" s="506"/>
      <c r="C3" s="507"/>
      <c r="D3" s="507" t="s">
        <v>418</v>
      </c>
      <c r="E3" s="503"/>
      <c r="F3" s="508" t="s">
        <v>419</v>
      </c>
      <c r="G3" s="508"/>
      <c r="H3" s="508"/>
      <c r="I3" s="509" t="s">
        <v>418</v>
      </c>
    </row>
    <row r="4" spans="1:9" ht="15.95" customHeight="1" x14ac:dyDescent="0.15">
      <c r="A4" s="505"/>
      <c r="B4" s="506"/>
      <c r="C4" s="507"/>
      <c r="D4" s="507"/>
      <c r="E4" s="503"/>
      <c r="F4" s="510" t="s">
        <v>420</v>
      </c>
      <c r="G4" s="510"/>
      <c r="H4" s="510"/>
      <c r="I4" s="509"/>
    </row>
    <row r="5" spans="1:9" ht="19.5" customHeight="1" x14ac:dyDescent="0.15">
      <c r="A5" s="31" t="s">
        <v>421</v>
      </c>
      <c r="B5" s="516"/>
      <c r="C5" s="517"/>
      <c r="D5" s="172"/>
      <c r="E5" s="503"/>
      <c r="F5" s="144" t="s">
        <v>421</v>
      </c>
      <c r="G5" s="494"/>
      <c r="H5" s="495"/>
      <c r="I5" s="173"/>
    </row>
    <row r="6" spans="1:9" ht="19.5" customHeight="1" x14ac:dyDescent="0.15">
      <c r="A6" s="31" t="s">
        <v>422</v>
      </c>
      <c r="B6" s="516"/>
      <c r="C6" s="517"/>
      <c r="D6" s="172"/>
      <c r="E6" s="503"/>
      <c r="F6" s="144" t="s">
        <v>422</v>
      </c>
      <c r="G6" s="494"/>
      <c r="H6" s="495"/>
      <c r="I6" s="173"/>
    </row>
    <row r="7" spans="1:9" ht="19.5" customHeight="1" x14ac:dyDescent="0.15">
      <c r="A7" s="31" t="s">
        <v>423</v>
      </c>
      <c r="B7" s="516"/>
      <c r="C7" s="517"/>
      <c r="D7" s="172"/>
      <c r="E7" s="503"/>
      <c r="F7" s="144" t="s">
        <v>423</v>
      </c>
      <c r="G7" s="494"/>
      <c r="H7" s="495"/>
      <c r="I7" s="173"/>
    </row>
    <row r="8" spans="1:9" ht="15.95" customHeight="1" x14ac:dyDescent="0.15">
      <c r="A8" s="511" t="s">
        <v>424</v>
      </c>
      <c r="B8" s="487" t="s">
        <v>389</v>
      </c>
      <c r="C8" s="488"/>
      <c r="D8" s="512"/>
      <c r="E8" s="503"/>
      <c r="F8" s="514" t="s">
        <v>424</v>
      </c>
      <c r="G8" s="487" t="s">
        <v>389</v>
      </c>
      <c r="H8" s="488"/>
      <c r="I8" s="515"/>
    </row>
    <row r="9" spans="1:9" ht="15.95" customHeight="1" x14ac:dyDescent="0.15">
      <c r="A9" s="511"/>
      <c r="B9" s="485" t="s">
        <v>425</v>
      </c>
      <c r="C9" s="486"/>
      <c r="D9" s="513"/>
      <c r="E9" s="503"/>
      <c r="F9" s="514"/>
      <c r="G9" s="485" t="s">
        <v>426</v>
      </c>
      <c r="H9" s="486"/>
      <c r="I9" s="515"/>
    </row>
    <row r="10" spans="1:9" ht="21" customHeight="1" thickBot="1" x14ac:dyDescent="0.2">
      <c r="A10" s="491" t="s">
        <v>427</v>
      </c>
      <c r="B10" s="492"/>
      <c r="C10" s="493"/>
      <c r="D10" s="493"/>
      <c r="E10" s="493"/>
      <c r="F10" s="493"/>
      <c r="G10" s="493"/>
      <c r="H10" s="493"/>
      <c r="I10" s="174"/>
    </row>
    <row r="11" spans="1:9" ht="3.95" customHeight="1" x14ac:dyDescent="0.15">
      <c r="A11" s="150"/>
      <c r="B11" s="150"/>
      <c r="C11" s="150"/>
      <c r="D11" s="150"/>
      <c r="E11" s="150"/>
      <c r="F11" s="150"/>
      <c r="G11" s="150"/>
      <c r="H11" s="150"/>
      <c r="I11" s="150"/>
    </row>
    <row r="12" spans="1:9" x14ac:dyDescent="0.15">
      <c r="A12" s="489" t="s">
        <v>450</v>
      </c>
      <c r="B12" s="489"/>
      <c r="C12" s="489"/>
      <c r="D12" s="489"/>
      <c r="E12" s="489"/>
      <c r="F12" s="489"/>
      <c r="G12" s="489"/>
      <c r="H12" s="489"/>
      <c r="I12" s="489"/>
    </row>
    <row r="13" spans="1:9" x14ac:dyDescent="0.15">
      <c r="A13" s="490" t="s">
        <v>451</v>
      </c>
      <c r="B13" s="490"/>
      <c r="C13" s="490"/>
      <c r="D13" s="490"/>
      <c r="E13" s="490"/>
      <c r="F13" s="490"/>
      <c r="G13" s="490"/>
      <c r="H13" s="490"/>
      <c r="I13" s="490"/>
    </row>
    <row r="14" spans="1:9" x14ac:dyDescent="0.15">
      <c r="A14" s="490" t="s">
        <v>444</v>
      </c>
      <c r="B14" s="490"/>
      <c r="C14" s="490"/>
      <c r="D14" s="490"/>
      <c r="E14" s="490"/>
      <c r="F14" s="490"/>
      <c r="G14" s="490"/>
      <c r="H14" s="490"/>
      <c r="I14" s="490"/>
    </row>
    <row r="15" spans="1:9" x14ac:dyDescent="0.15">
      <c r="A15" s="490" t="s">
        <v>445</v>
      </c>
      <c r="B15" s="490"/>
      <c r="C15" s="490"/>
      <c r="D15" s="490"/>
      <c r="E15" s="490"/>
      <c r="F15" s="490"/>
      <c r="G15" s="490"/>
      <c r="H15" s="490"/>
      <c r="I15" s="490"/>
    </row>
    <row r="16" spans="1:9" x14ac:dyDescent="0.15">
      <c r="A16" s="490" t="s">
        <v>452</v>
      </c>
      <c r="B16" s="490"/>
      <c r="C16" s="490"/>
      <c r="D16" s="490"/>
      <c r="E16" s="490"/>
      <c r="F16" s="490"/>
      <c r="G16" s="490"/>
      <c r="H16" s="490"/>
      <c r="I16" s="490"/>
    </row>
    <row r="17" spans="1:9" x14ac:dyDescent="0.15">
      <c r="A17" s="490" t="s">
        <v>446</v>
      </c>
      <c r="B17" s="490"/>
      <c r="C17" s="490"/>
      <c r="D17" s="490"/>
      <c r="E17" s="490"/>
      <c r="F17" s="490"/>
      <c r="G17" s="490"/>
      <c r="H17" s="490"/>
      <c r="I17" s="490"/>
    </row>
    <row r="18" spans="1:9" x14ac:dyDescent="0.15">
      <c r="A18" s="352" t="s">
        <v>447</v>
      </c>
      <c r="B18" s="352"/>
      <c r="C18" s="352"/>
      <c r="D18" s="352"/>
      <c r="E18" s="352"/>
      <c r="F18" s="352"/>
      <c r="G18" s="352"/>
      <c r="H18" s="352"/>
      <c r="I18" s="352"/>
    </row>
    <row r="19" spans="1:9" x14ac:dyDescent="0.15">
      <c r="A19" s="489" t="s">
        <v>429</v>
      </c>
      <c r="B19" s="489"/>
      <c r="C19" s="489"/>
      <c r="D19" s="489"/>
      <c r="E19" s="489"/>
      <c r="F19" s="489"/>
      <c r="G19" s="489"/>
      <c r="H19" s="489"/>
      <c r="I19" s="489"/>
    </row>
    <row r="20" spans="1:9" x14ac:dyDescent="0.15">
      <c r="A20" s="352" t="s">
        <v>521</v>
      </c>
      <c r="B20" s="352"/>
      <c r="C20" s="352"/>
      <c r="D20" s="352"/>
      <c r="E20" s="352"/>
      <c r="F20" s="352"/>
      <c r="G20" s="352"/>
      <c r="H20" s="352"/>
      <c r="I20" s="352"/>
    </row>
    <row r="21" spans="1:9" x14ac:dyDescent="0.15">
      <c r="A21" s="352" t="s">
        <v>453</v>
      </c>
      <c r="B21" s="352"/>
      <c r="C21" s="352"/>
      <c r="D21" s="352"/>
      <c r="E21" s="352"/>
      <c r="F21" s="352"/>
      <c r="G21" s="352"/>
      <c r="H21" s="352"/>
      <c r="I21" s="352"/>
    </row>
    <row r="22" spans="1:9" x14ac:dyDescent="0.15">
      <c r="A22" s="352" t="s">
        <v>454</v>
      </c>
      <c r="B22" s="352"/>
      <c r="C22" s="352"/>
      <c r="D22" s="352"/>
      <c r="E22" s="352"/>
      <c r="F22" s="352"/>
      <c r="G22" s="352"/>
      <c r="H22" s="352"/>
      <c r="I22" s="352"/>
    </row>
    <row r="23" spans="1:9" x14ac:dyDescent="0.15">
      <c r="A23" s="352" t="s">
        <v>455</v>
      </c>
      <c r="B23" s="352"/>
      <c r="C23" s="352"/>
      <c r="D23" s="352"/>
      <c r="E23" s="352"/>
      <c r="F23" s="352"/>
      <c r="G23" s="352"/>
      <c r="H23" s="352"/>
      <c r="I23" s="352"/>
    </row>
    <row r="24" spans="1:9" x14ac:dyDescent="0.15">
      <c r="A24" s="352" t="s">
        <v>456</v>
      </c>
      <c r="B24" s="352"/>
      <c r="C24" s="352"/>
      <c r="D24" s="352"/>
      <c r="E24" s="352"/>
      <c r="F24" s="352"/>
      <c r="G24" s="352"/>
      <c r="H24" s="352"/>
      <c r="I24" s="352"/>
    </row>
    <row r="25" spans="1:9" x14ac:dyDescent="0.15">
      <c r="A25" s="352" t="s">
        <v>457</v>
      </c>
      <c r="B25" s="352"/>
      <c r="C25" s="352"/>
      <c r="D25" s="352"/>
      <c r="E25" s="352"/>
      <c r="F25" s="352"/>
      <c r="G25" s="352"/>
      <c r="H25" s="352"/>
      <c r="I25" s="352"/>
    </row>
    <row r="26" spans="1:9" x14ac:dyDescent="0.15">
      <c r="A26" s="352" t="s">
        <v>458</v>
      </c>
      <c r="B26" s="352"/>
      <c r="C26" s="352"/>
      <c r="D26" s="352"/>
      <c r="E26" s="352"/>
      <c r="F26" s="352"/>
      <c r="G26" s="352"/>
      <c r="H26" s="352"/>
      <c r="I26" s="352"/>
    </row>
    <row r="27" spans="1:9" x14ac:dyDescent="0.15">
      <c r="A27" s="352" t="s">
        <v>459</v>
      </c>
      <c r="B27" s="352"/>
      <c r="C27" s="352"/>
      <c r="D27" s="352"/>
      <c r="E27" s="352"/>
      <c r="F27" s="352"/>
      <c r="G27" s="352"/>
      <c r="H27" s="352"/>
      <c r="I27" s="352"/>
    </row>
    <row r="28" spans="1:9" ht="14.25" thickBot="1" x14ac:dyDescent="0.2">
      <c r="A28" s="352" t="s">
        <v>460</v>
      </c>
      <c r="B28" s="352"/>
      <c r="C28" s="352"/>
      <c r="D28" s="352"/>
      <c r="E28" s="352"/>
      <c r="F28" s="352"/>
      <c r="G28" s="352"/>
      <c r="H28" s="352"/>
      <c r="I28" s="352"/>
    </row>
    <row r="29" spans="1:9" ht="56.25" customHeight="1" x14ac:dyDescent="0.15">
      <c r="A29" s="496" t="s">
        <v>449</v>
      </c>
      <c r="B29" s="497"/>
      <c r="C29" s="497"/>
      <c r="D29" s="497"/>
      <c r="E29" s="497"/>
      <c r="F29" s="497"/>
      <c r="G29" s="497"/>
      <c r="H29" s="497"/>
      <c r="I29" s="498"/>
    </row>
    <row r="30" spans="1:9" ht="39.75" customHeight="1" thickBot="1" x14ac:dyDescent="0.2">
      <c r="A30" s="145"/>
      <c r="B30" s="146"/>
      <c r="C30" s="146"/>
      <c r="D30" s="146"/>
      <c r="E30" s="146"/>
      <c r="F30" s="146"/>
      <c r="G30" s="468" t="s">
        <v>430</v>
      </c>
      <c r="H30" s="468"/>
      <c r="I30" s="469"/>
    </row>
    <row r="31" spans="1:9" ht="3.95" customHeight="1" thickBot="1" x14ac:dyDescent="0.2"/>
    <row r="32" spans="1:9" ht="3.95" customHeight="1" x14ac:dyDescent="0.15">
      <c r="A32" s="164"/>
      <c r="B32" s="153"/>
      <c r="C32" s="153"/>
      <c r="D32" s="153"/>
      <c r="E32" s="153"/>
      <c r="F32" s="153"/>
      <c r="G32" s="153"/>
      <c r="H32" s="153"/>
      <c r="I32" s="154"/>
    </row>
    <row r="33" spans="1:9" x14ac:dyDescent="0.15">
      <c r="A33" s="476" t="s">
        <v>431</v>
      </c>
      <c r="B33" s="477"/>
      <c r="C33" s="477"/>
      <c r="D33" s="477"/>
      <c r="E33" s="477"/>
      <c r="F33" s="477"/>
      <c r="G33" s="477"/>
      <c r="H33" s="477"/>
      <c r="I33" s="478"/>
    </row>
    <row r="34" spans="1:9" x14ac:dyDescent="0.15">
      <c r="A34" s="479" t="s">
        <v>432</v>
      </c>
      <c r="B34" s="446"/>
      <c r="C34" s="446"/>
      <c r="D34" s="446"/>
      <c r="E34" s="446"/>
      <c r="F34" s="446"/>
      <c r="G34" s="446"/>
      <c r="H34" s="446"/>
      <c r="I34" s="447"/>
    </row>
    <row r="35" spans="1:9" x14ac:dyDescent="0.15">
      <c r="A35" s="480" t="s">
        <v>448</v>
      </c>
      <c r="B35" s="481"/>
      <c r="C35" s="481"/>
      <c r="D35" s="481"/>
      <c r="E35" s="481"/>
      <c r="F35" s="481"/>
      <c r="G35" s="481"/>
      <c r="H35" s="481"/>
      <c r="I35" s="482"/>
    </row>
    <row r="36" spans="1:9" x14ac:dyDescent="0.15">
      <c r="A36" s="480" t="s">
        <v>433</v>
      </c>
      <c r="B36" s="481"/>
      <c r="C36" s="481"/>
      <c r="D36" s="481"/>
      <c r="E36" s="481"/>
      <c r="F36" s="481"/>
      <c r="G36" s="481"/>
      <c r="H36" s="481"/>
      <c r="I36" s="482"/>
    </row>
    <row r="37" spans="1:9" x14ac:dyDescent="0.15">
      <c r="A37" s="480" t="s">
        <v>434</v>
      </c>
      <c r="B37" s="481"/>
      <c r="C37" s="481"/>
      <c r="D37" s="481"/>
      <c r="E37" s="481"/>
      <c r="F37" s="481"/>
      <c r="G37" s="481"/>
      <c r="H37" s="481"/>
      <c r="I37" s="482"/>
    </row>
    <row r="38" spans="1:9" x14ac:dyDescent="0.15">
      <c r="A38" s="479" t="s">
        <v>435</v>
      </c>
      <c r="B38" s="446"/>
      <c r="C38" s="446"/>
      <c r="D38" s="446"/>
      <c r="E38" s="446"/>
      <c r="F38" s="446"/>
      <c r="G38" s="446"/>
      <c r="H38" s="446"/>
      <c r="I38" s="447"/>
    </row>
    <row r="39" spans="1:9" x14ac:dyDescent="0.15">
      <c r="A39" s="475" t="s">
        <v>436</v>
      </c>
      <c r="B39" s="396"/>
      <c r="C39" s="396"/>
      <c r="D39" s="1"/>
      <c r="E39" s="1"/>
      <c r="F39" s="148" t="s">
        <v>437</v>
      </c>
      <c r="G39" s="396"/>
      <c r="H39" s="396"/>
      <c r="I39" s="483"/>
    </row>
    <row r="40" spans="1:9" x14ac:dyDescent="0.15">
      <c r="A40" s="147" t="s">
        <v>438</v>
      </c>
      <c r="B40" s="1"/>
      <c r="C40" s="1"/>
      <c r="D40" s="129" t="s">
        <v>439</v>
      </c>
      <c r="E40" s="313"/>
      <c r="F40" s="313"/>
      <c r="G40" s="313"/>
      <c r="H40" s="313"/>
      <c r="I40" s="484"/>
    </row>
    <row r="41" spans="1:9" x14ac:dyDescent="0.15">
      <c r="A41" s="149" t="s">
        <v>440</v>
      </c>
      <c r="B41" s="10" t="s">
        <v>441</v>
      </c>
      <c r="D41" s="370" t="s">
        <v>522</v>
      </c>
      <c r="E41" s="370"/>
      <c r="F41" s="148" t="s">
        <v>442</v>
      </c>
      <c r="G41" s="396"/>
      <c r="H41" s="396"/>
      <c r="I41" s="483"/>
    </row>
    <row r="42" spans="1:9" ht="48" customHeight="1" thickBot="1" x14ac:dyDescent="0.2">
      <c r="A42" s="145"/>
      <c r="B42" s="146"/>
      <c r="C42" s="146"/>
      <c r="D42" s="146"/>
      <c r="E42" s="146"/>
      <c r="F42" s="146"/>
      <c r="G42" s="468" t="s">
        <v>443</v>
      </c>
      <c r="H42" s="468"/>
      <c r="I42" s="469"/>
    </row>
    <row r="43" spans="1:9" ht="3.95" customHeight="1" thickBot="1" x14ac:dyDescent="0.2">
      <c r="A43" s="1"/>
      <c r="B43" s="1"/>
      <c r="C43" s="1"/>
      <c r="D43" s="1"/>
      <c r="E43" s="1"/>
      <c r="F43" s="1"/>
      <c r="G43" s="1"/>
      <c r="H43" s="151"/>
      <c r="I43" s="152"/>
    </row>
    <row r="44" spans="1:9" ht="14.25" x14ac:dyDescent="0.15">
      <c r="A44" s="463" t="s">
        <v>461</v>
      </c>
      <c r="B44" s="464"/>
      <c r="C44" s="153"/>
      <c r="D44" s="474" t="s">
        <v>463</v>
      </c>
      <c r="E44" s="474"/>
      <c r="F44" s="474"/>
      <c r="G44" s="153"/>
      <c r="H44" s="153"/>
      <c r="I44" s="154"/>
    </row>
    <row r="45" spans="1:9" x14ac:dyDescent="0.15">
      <c r="A45" s="465" t="s">
        <v>462</v>
      </c>
      <c r="B45" s="466"/>
      <c r="D45" s="470"/>
      <c r="E45" s="470"/>
      <c r="F45" s="470"/>
      <c r="I45" s="155"/>
    </row>
    <row r="46" spans="1:9" ht="14.25" x14ac:dyDescent="0.15">
      <c r="A46" s="158" t="s">
        <v>464</v>
      </c>
      <c r="G46" s="470" t="s">
        <v>466</v>
      </c>
      <c r="H46" s="470"/>
      <c r="I46" s="471"/>
    </row>
    <row r="47" spans="1:9" x14ac:dyDescent="0.15">
      <c r="A47" s="461" t="s">
        <v>465</v>
      </c>
      <c r="B47" s="462"/>
      <c r="C47" s="175"/>
      <c r="I47" s="155"/>
    </row>
    <row r="48" spans="1:9" x14ac:dyDescent="0.15">
      <c r="A48" s="472"/>
      <c r="B48" s="473"/>
      <c r="C48" s="473"/>
      <c r="I48" s="155"/>
    </row>
    <row r="49" spans="1:9" ht="14.25" thickBot="1" x14ac:dyDescent="0.2">
      <c r="A49" s="145"/>
      <c r="B49" s="156"/>
      <c r="C49" s="156"/>
      <c r="D49" s="156"/>
      <c r="E49" s="156"/>
      <c r="F49" s="156"/>
      <c r="G49" s="156"/>
      <c r="H49" s="156"/>
      <c r="I49" s="157"/>
    </row>
    <row r="50" spans="1:9" x14ac:dyDescent="0.15">
      <c r="A50" s="467" t="s">
        <v>467</v>
      </c>
      <c r="B50" s="467"/>
      <c r="C50" s="467"/>
      <c r="D50" s="467"/>
      <c r="E50" s="467"/>
      <c r="F50" s="467"/>
      <c r="G50" s="467"/>
      <c r="H50" s="467"/>
      <c r="I50" s="467"/>
    </row>
  </sheetData>
  <sheetProtection algorithmName="SHA-512" hashValue="7N32ZGd+mW89jTdKQuvSrCOQ5MI+f/C72PDCSiVMQDdVFfSYcvN/hwyP8BANCi4ZY8EPh2uv1WTrVQnJNmrwoA==" saltValue="3VFHzcuYnw9pHS3TP6/tVw==" spinCount="100000" sheet="1" objects="1" scenarios="1" formatCells="0" formatColumns="0" formatRows="0" insertColumns="0"/>
  <protectedRanges>
    <protectedRange sqref="B5 B6 B7 D5:D9 I5:I9 G5:H7 I10 G39 E40 B40:C40 C41 G41" name="الحسم الديناميكي"/>
  </protectedRanges>
  <mergeCells count="62">
    <mergeCell ref="A1:I1"/>
    <mergeCell ref="A2:D2"/>
    <mergeCell ref="E2:E9"/>
    <mergeCell ref="F2:I2"/>
    <mergeCell ref="A3:C4"/>
    <mergeCell ref="D3:D4"/>
    <mergeCell ref="F3:H3"/>
    <mergeCell ref="I3:I4"/>
    <mergeCell ref="F4:H4"/>
    <mergeCell ref="A8:A9"/>
    <mergeCell ref="D8:D9"/>
    <mergeCell ref="F8:F9"/>
    <mergeCell ref="I8:I9"/>
    <mergeCell ref="B7:C7"/>
    <mergeCell ref="B6:C6"/>
    <mergeCell ref="B5:C5"/>
    <mergeCell ref="A15:I15"/>
    <mergeCell ref="A20:I20"/>
    <mergeCell ref="A21:I21"/>
    <mergeCell ref="A22:I22"/>
    <mergeCell ref="A23:I23"/>
    <mergeCell ref="A29:I29"/>
    <mergeCell ref="A16:I16"/>
    <mergeCell ref="A17:I17"/>
    <mergeCell ref="A18:I18"/>
    <mergeCell ref="A25:I25"/>
    <mergeCell ref="A19:I19"/>
    <mergeCell ref="A24:I24"/>
    <mergeCell ref="G5:H5"/>
    <mergeCell ref="G6:H6"/>
    <mergeCell ref="G7:H7"/>
    <mergeCell ref="G9:H9"/>
    <mergeCell ref="G8:H8"/>
    <mergeCell ref="B9:C9"/>
    <mergeCell ref="B8:C8"/>
    <mergeCell ref="A12:I12"/>
    <mergeCell ref="A13:I13"/>
    <mergeCell ref="A14:I14"/>
    <mergeCell ref="A10:H10"/>
    <mergeCell ref="G30:I30"/>
    <mergeCell ref="D44:F45"/>
    <mergeCell ref="A26:I26"/>
    <mergeCell ref="A27:I27"/>
    <mergeCell ref="A28:I28"/>
    <mergeCell ref="A39:C39"/>
    <mergeCell ref="A33:I33"/>
    <mergeCell ref="A34:I34"/>
    <mergeCell ref="A35:I35"/>
    <mergeCell ref="A36:I36"/>
    <mergeCell ref="A37:I37"/>
    <mergeCell ref="A38:I38"/>
    <mergeCell ref="D41:E41"/>
    <mergeCell ref="G41:I41"/>
    <mergeCell ref="G39:I39"/>
    <mergeCell ref="E40:I40"/>
    <mergeCell ref="A47:B47"/>
    <mergeCell ref="A44:B44"/>
    <mergeCell ref="A45:B45"/>
    <mergeCell ref="A50:I50"/>
    <mergeCell ref="G42:I42"/>
    <mergeCell ref="G46:I46"/>
    <mergeCell ref="A48:C48"/>
  </mergeCells>
  <printOptions horizontalCentered="1" verticalCentered="1"/>
  <pageMargins left="0" right="0" top="0" bottom="0" header="0" footer="0"/>
  <pageSetup paperSize="9" scale="9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0"/>
  <sheetViews>
    <sheetView rightToLeft="1" workbookViewId="0">
      <selection activeCell="B10" sqref="B10:D10"/>
    </sheetView>
  </sheetViews>
  <sheetFormatPr defaultRowHeight="13.5" x14ac:dyDescent="0.15"/>
  <cols>
    <col min="1" max="1" width="8.94921875" style="10"/>
    <col min="2" max="2" width="6.86328125" style="1" customWidth="1"/>
    <col min="3" max="3" width="19.3671875" style="1" customWidth="1"/>
    <col min="4" max="4" width="11.765625" style="10" customWidth="1"/>
    <col min="5" max="5" width="10.6640625" style="10" customWidth="1"/>
    <col min="6" max="6" width="9.8046875" style="10" customWidth="1"/>
    <col min="7" max="7" width="14.7109375" style="10" customWidth="1"/>
    <col min="8" max="8" width="14.7109375" style="1" customWidth="1"/>
  </cols>
  <sheetData>
    <row r="1" spans="1:8" ht="36" customHeight="1" thickBot="1" x14ac:dyDescent="0.2">
      <c r="A1" s="548" t="s">
        <v>50</v>
      </c>
      <c r="B1" s="548"/>
      <c r="C1" s="548"/>
      <c r="D1" s="548"/>
      <c r="E1" s="548"/>
      <c r="F1" s="548"/>
      <c r="G1" s="548"/>
      <c r="H1" s="548"/>
    </row>
    <row r="2" spans="1:8" ht="30" customHeight="1" x14ac:dyDescent="0.15">
      <c r="A2" s="552" t="s">
        <v>51</v>
      </c>
      <c r="B2" s="553"/>
      <c r="C2" s="553"/>
      <c r="D2" s="553"/>
      <c r="E2" s="553"/>
      <c r="F2" s="553"/>
      <c r="G2" s="553"/>
      <c r="H2" s="554"/>
    </row>
    <row r="3" spans="1:8" ht="22.7" customHeight="1" x14ac:dyDescent="0.15">
      <c r="A3" s="555" t="s">
        <v>1</v>
      </c>
      <c r="B3" s="165">
        <v>5</v>
      </c>
      <c r="C3" s="528" t="s">
        <v>52</v>
      </c>
      <c r="D3" s="564"/>
      <c r="E3" s="564"/>
      <c r="F3" s="529"/>
      <c r="G3" s="556"/>
      <c r="H3" s="557"/>
    </row>
    <row r="4" spans="1:8" ht="22.7" customHeight="1" x14ac:dyDescent="0.15">
      <c r="A4" s="555"/>
      <c r="B4" s="520" t="s">
        <v>53</v>
      </c>
      <c r="C4" s="533"/>
      <c r="D4" s="533"/>
      <c r="E4" s="533"/>
      <c r="F4" s="521"/>
      <c r="G4" s="558"/>
      <c r="H4" s="559"/>
    </row>
    <row r="5" spans="1:8" ht="22.7" customHeight="1" x14ac:dyDescent="0.15">
      <c r="A5" s="555"/>
      <c r="B5" s="520" t="s">
        <v>54</v>
      </c>
      <c r="C5" s="533"/>
      <c r="D5" s="521"/>
      <c r="E5" s="520" t="s">
        <v>55</v>
      </c>
      <c r="F5" s="521"/>
      <c r="G5" s="38" t="s">
        <v>56</v>
      </c>
      <c r="H5" s="48" t="s">
        <v>57</v>
      </c>
    </row>
    <row r="6" spans="1:8" ht="22.7" customHeight="1" x14ac:dyDescent="0.15">
      <c r="A6" s="49">
        <v>611</v>
      </c>
      <c r="B6" s="551"/>
      <c r="C6" s="551"/>
      <c r="D6" s="551"/>
      <c r="E6" s="518"/>
      <c r="F6" s="519"/>
      <c r="G6" s="207"/>
      <c r="H6" s="176"/>
    </row>
    <row r="7" spans="1:8" ht="22.7" customHeight="1" x14ac:dyDescent="0.15">
      <c r="A7" s="49">
        <v>612</v>
      </c>
      <c r="B7" s="551"/>
      <c r="C7" s="551"/>
      <c r="D7" s="551"/>
      <c r="E7" s="518"/>
      <c r="F7" s="519"/>
      <c r="G7" s="207"/>
      <c r="H7" s="176"/>
    </row>
    <row r="8" spans="1:8" ht="22.7" customHeight="1" x14ac:dyDescent="0.15">
      <c r="A8" s="49">
        <v>613</v>
      </c>
      <c r="B8" s="551"/>
      <c r="C8" s="551"/>
      <c r="D8" s="551"/>
      <c r="E8" s="518"/>
      <c r="F8" s="519"/>
      <c r="G8" s="207"/>
      <c r="H8" s="176"/>
    </row>
    <row r="9" spans="1:8" ht="22.7" customHeight="1" x14ac:dyDescent="0.15">
      <c r="A9" s="49">
        <v>614</v>
      </c>
      <c r="B9" s="551"/>
      <c r="C9" s="551"/>
      <c r="D9" s="551"/>
      <c r="E9" s="518"/>
      <c r="F9" s="519"/>
      <c r="G9" s="207"/>
      <c r="H9" s="176"/>
    </row>
    <row r="10" spans="1:8" ht="22.7" customHeight="1" x14ac:dyDescent="0.15">
      <c r="A10" s="49">
        <v>615</v>
      </c>
      <c r="B10" s="551"/>
      <c r="C10" s="551"/>
      <c r="D10" s="551"/>
      <c r="E10" s="518"/>
      <c r="F10" s="519"/>
      <c r="G10" s="207"/>
      <c r="H10" s="176"/>
    </row>
    <row r="11" spans="1:8" ht="22.7" customHeight="1" x14ac:dyDescent="0.15">
      <c r="A11" s="50">
        <v>61</v>
      </c>
      <c r="B11" s="534" t="s">
        <v>58</v>
      </c>
      <c r="C11" s="535"/>
      <c r="D11" s="536"/>
      <c r="E11" s="537"/>
      <c r="F11" s="538"/>
      <c r="G11" s="539"/>
      <c r="H11" s="51" t="s">
        <v>59</v>
      </c>
    </row>
    <row r="12" spans="1:8" ht="22.7" customHeight="1" x14ac:dyDescent="0.15">
      <c r="A12" s="50">
        <v>71</v>
      </c>
      <c r="B12" s="534" t="s">
        <v>60</v>
      </c>
      <c r="C12" s="535"/>
      <c r="D12" s="536"/>
      <c r="E12" s="537"/>
      <c r="F12" s="538"/>
      <c r="G12" s="539"/>
      <c r="H12" s="51" t="s">
        <v>59</v>
      </c>
    </row>
    <row r="13" spans="1:8" ht="22.7" customHeight="1" thickBot="1" x14ac:dyDescent="0.2">
      <c r="A13" s="52">
        <v>73</v>
      </c>
      <c r="B13" s="560" t="s">
        <v>557</v>
      </c>
      <c r="C13" s="560"/>
      <c r="D13" s="560"/>
      <c r="E13" s="561"/>
      <c r="F13" s="562"/>
      <c r="G13" s="563"/>
      <c r="H13" s="53"/>
    </row>
    <row r="14" spans="1:8" ht="17.25" customHeight="1" thickBot="1" x14ac:dyDescent="0.2">
      <c r="A14" s="39"/>
    </row>
    <row r="15" spans="1:8" ht="36" customHeight="1" x14ac:dyDescent="0.15">
      <c r="A15" s="42" t="s">
        <v>1</v>
      </c>
      <c r="B15" s="549" t="s">
        <v>61</v>
      </c>
      <c r="C15" s="549"/>
      <c r="D15" s="549"/>
      <c r="E15" s="549"/>
      <c r="F15" s="549"/>
      <c r="G15" s="549"/>
      <c r="H15" s="550"/>
    </row>
    <row r="16" spans="1:8" ht="22.7" customHeight="1" x14ac:dyDescent="0.15">
      <c r="A16" s="43">
        <v>5</v>
      </c>
      <c r="B16" s="544" t="s">
        <v>52</v>
      </c>
      <c r="C16" s="544"/>
      <c r="D16" s="544"/>
      <c r="E16" s="540"/>
      <c r="F16" s="541"/>
      <c r="G16" s="542"/>
      <c r="H16" s="44"/>
    </row>
    <row r="17" spans="1:8" ht="22.7" customHeight="1" x14ac:dyDescent="0.15">
      <c r="A17" s="45"/>
      <c r="B17" s="544" t="s">
        <v>62</v>
      </c>
      <c r="C17" s="544"/>
      <c r="D17" s="544"/>
      <c r="E17" s="530"/>
      <c r="F17" s="531"/>
      <c r="G17" s="532"/>
      <c r="H17" s="44"/>
    </row>
    <row r="18" spans="1:8" ht="22.7" customHeight="1" x14ac:dyDescent="0.15">
      <c r="A18" s="46">
        <v>62</v>
      </c>
      <c r="B18" s="543" t="s">
        <v>58</v>
      </c>
      <c r="C18" s="543"/>
      <c r="D18" s="543"/>
      <c r="E18" s="545"/>
      <c r="F18" s="546"/>
      <c r="G18" s="547"/>
      <c r="H18" s="168" t="s">
        <v>59</v>
      </c>
    </row>
    <row r="19" spans="1:8" ht="22.7" customHeight="1" x14ac:dyDescent="0.15">
      <c r="A19" s="46">
        <v>72</v>
      </c>
      <c r="B19" s="543" t="s">
        <v>60</v>
      </c>
      <c r="C19" s="543"/>
      <c r="D19" s="543"/>
      <c r="E19" s="545"/>
      <c r="F19" s="546"/>
      <c r="G19" s="547"/>
      <c r="H19" s="168" t="s">
        <v>59</v>
      </c>
    </row>
    <row r="20" spans="1:8" ht="22.7" customHeight="1" thickBot="1" x14ac:dyDescent="0.2">
      <c r="A20" s="47">
        <v>74</v>
      </c>
      <c r="B20" s="560" t="s">
        <v>557</v>
      </c>
      <c r="C20" s="560"/>
      <c r="D20" s="560"/>
      <c r="E20" s="572"/>
      <c r="F20" s="573"/>
      <c r="G20" s="574"/>
      <c r="H20" s="169" t="s">
        <v>59</v>
      </c>
    </row>
    <row r="21" spans="1:8" ht="17.25" customHeight="1" x14ac:dyDescent="0.15">
      <c r="A21" s="40"/>
    </row>
    <row r="22" spans="1:8" ht="36" customHeight="1" thickBot="1" x14ac:dyDescent="0.2">
      <c r="A22" s="548" t="s">
        <v>63</v>
      </c>
      <c r="B22" s="548"/>
      <c r="C22" s="548"/>
      <c r="D22" s="548"/>
      <c r="E22" s="548"/>
      <c r="F22" s="548"/>
      <c r="G22" s="548"/>
      <c r="H22" s="548"/>
    </row>
    <row r="23" spans="1:8" ht="21" customHeight="1" x14ac:dyDescent="0.15">
      <c r="A23" s="580" t="s">
        <v>1</v>
      </c>
      <c r="B23" s="578" t="s">
        <v>1</v>
      </c>
      <c r="C23" s="582"/>
      <c r="D23" s="578">
        <v>6</v>
      </c>
      <c r="E23" s="579"/>
      <c r="F23" s="221">
        <v>7</v>
      </c>
      <c r="G23" s="222"/>
      <c r="H23" s="214">
        <v>8</v>
      </c>
    </row>
    <row r="24" spans="1:8" ht="29.25" customHeight="1" x14ac:dyDescent="0.15">
      <c r="A24" s="581"/>
      <c r="B24" s="528" t="s">
        <v>64</v>
      </c>
      <c r="C24" s="529"/>
      <c r="D24" s="528" t="s">
        <v>58</v>
      </c>
      <c r="E24" s="529"/>
      <c r="F24" s="213" t="s">
        <v>60</v>
      </c>
      <c r="G24" s="213" t="s">
        <v>557</v>
      </c>
      <c r="H24" s="215" t="s">
        <v>65</v>
      </c>
    </row>
    <row r="25" spans="1:8" ht="22.7" customHeight="1" x14ac:dyDescent="0.15">
      <c r="A25" s="41">
        <v>81</v>
      </c>
      <c r="B25" s="570" t="s">
        <v>66</v>
      </c>
      <c r="C25" s="571"/>
      <c r="D25" s="526"/>
      <c r="E25" s="527"/>
      <c r="F25" s="201"/>
      <c r="G25" s="177"/>
      <c r="H25" s="216" t="s">
        <v>59</v>
      </c>
    </row>
    <row r="26" spans="1:8" ht="22.7" customHeight="1" x14ac:dyDescent="0.15">
      <c r="A26" s="41">
        <v>82</v>
      </c>
      <c r="B26" s="568" t="s">
        <v>67</v>
      </c>
      <c r="C26" s="569"/>
      <c r="D26" s="524"/>
      <c r="E26" s="525"/>
      <c r="F26" s="177"/>
      <c r="G26" s="177"/>
      <c r="H26" s="216" t="s">
        <v>59</v>
      </c>
    </row>
    <row r="27" spans="1:8" ht="46.5" customHeight="1" x14ac:dyDescent="0.15">
      <c r="A27" s="41">
        <v>83</v>
      </c>
      <c r="B27" s="568" t="s">
        <v>68</v>
      </c>
      <c r="C27" s="569"/>
      <c r="D27" s="524"/>
      <c r="E27" s="525"/>
      <c r="F27" s="177"/>
      <c r="G27" s="177"/>
      <c r="H27" s="216" t="s">
        <v>59</v>
      </c>
    </row>
    <row r="28" spans="1:8" ht="22.7" customHeight="1" x14ac:dyDescent="0.15">
      <c r="A28" s="217">
        <v>8</v>
      </c>
      <c r="B28" s="566" t="s">
        <v>63</v>
      </c>
      <c r="C28" s="567"/>
      <c r="D28" s="522"/>
      <c r="E28" s="523"/>
      <c r="F28" s="218"/>
      <c r="G28" s="219"/>
      <c r="H28" s="220" t="s">
        <v>59</v>
      </c>
    </row>
    <row r="29" spans="1:8" ht="26.25" customHeight="1" thickBot="1" x14ac:dyDescent="0.2">
      <c r="A29" s="575" t="s">
        <v>558</v>
      </c>
      <c r="B29" s="576"/>
      <c r="C29" s="576"/>
      <c r="D29" s="576"/>
      <c r="E29" s="576"/>
      <c r="F29" s="576"/>
      <c r="G29" s="576"/>
      <c r="H29" s="577"/>
    </row>
    <row r="30" spans="1:8" ht="65.25" customHeight="1" x14ac:dyDescent="0.15">
      <c r="A30" s="565" t="s">
        <v>30</v>
      </c>
      <c r="B30" s="565"/>
      <c r="C30" s="565"/>
      <c r="D30" s="565"/>
      <c r="E30" s="565"/>
      <c r="F30" s="565"/>
      <c r="G30" s="565"/>
      <c r="H30" s="565"/>
    </row>
  </sheetData>
  <sheetProtection algorithmName="SHA-512" hashValue="AKwEG7h8+r87910CTTQd+zyUPM2t93bzdX7/w0jk9znz4t2vu7FDTxoL7c6XTo2yMYpQWp8W/mb3de0A2do3FA==" saltValue="rZPLDw5sqjOQo1OHwVv/jQ==" spinCount="100000" sheet="1" objects="1" scenarios="1" formatCells="0" formatColumns="0" formatRows="0"/>
  <protectedRanges>
    <protectedRange sqref="B6:H10 D25:G29 G3:H4 E11:G13 E16:G20" name="حساب الضريبة"/>
  </protectedRanges>
  <mergeCells count="52">
    <mergeCell ref="A30:H30"/>
    <mergeCell ref="B19:D19"/>
    <mergeCell ref="A22:H22"/>
    <mergeCell ref="E19:G19"/>
    <mergeCell ref="B28:C28"/>
    <mergeCell ref="B27:C27"/>
    <mergeCell ref="B26:C26"/>
    <mergeCell ref="B25:C25"/>
    <mergeCell ref="B20:D20"/>
    <mergeCell ref="E20:G20"/>
    <mergeCell ref="A29:H29"/>
    <mergeCell ref="D23:E23"/>
    <mergeCell ref="A23:A24"/>
    <mergeCell ref="B23:C23"/>
    <mergeCell ref="B24:C24"/>
    <mergeCell ref="A1:H1"/>
    <mergeCell ref="B15:H15"/>
    <mergeCell ref="B6:D6"/>
    <mergeCell ref="B7:D7"/>
    <mergeCell ref="B8:D8"/>
    <mergeCell ref="B9:D9"/>
    <mergeCell ref="B10:D10"/>
    <mergeCell ref="A2:H2"/>
    <mergeCell ref="A3:A5"/>
    <mergeCell ref="G3:H3"/>
    <mergeCell ref="G4:H4"/>
    <mergeCell ref="B13:D13"/>
    <mergeCell ref="E13:G13"/>
    <mergeCell ref="B4:F4"/>
    <mergeCell ref="C3:F3"/>
    <mergeCell ref="E8:F8"/>
    <mergeCell ref="E16:G16"/>
    <mergeCell ref="B18:D18"/>
    <mergeCell ref="B17:D17"/>
    <mergeCell ref="B16:D16"/>
    <mergeCell ref="E18:G18"/>
    <mergeCell ref="E7:F7"/>
    <mergeCell ref="E6:F6"/>
    <mergeCell ref="E5:F5"/>
    <mergeCell ref="D28:E28"/>
    <mergeCell ref="D27:E27"/>
    <mergeCell ref="D26:E26"/>
    <mergeCell ref="D25:E25"/>
    <mergeCell ref="D24:E24"/>
    <mergeCell ref="E17:G17"/>
    <mergeCell ref="B5:D5"/>
    <mergeCell ref="B12:D12"/>
    <mergeCell ref="B11:D11"/>
    <mergeCell ref="E12:G12"/>
    <mergeCell ref="E11:G11"/>
    <mergeCell ref="E10:F10"/>
    <mergeCell ref="E9:F9"/>
  </mergeCells>
  <printOptions horizontalCentered="1" verticalCentered="1"/>
  <pageMargins left="0" right="0" top="0" bottom="0" header="0" footer="0"/>
  <pageSetup paperSize="9" scale="9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5"/>
  <sheetViews>
    <sheetView rightToLeft="1" workbookViewId="0">
      <selection activeCell="D12" sqref="D12"/>
    </sheetView>
  </sheetViews>
  <sheetFormatPr defaultColWidth="8.94921875" defaultRowHeight="13.5" x14ac:dyDescent="0.15"/>
  <cols>
    <col min="1" max="1" width="5.515625" style="1" bestFit="1" customWidth="1"/>
    <col min="2" max="2" width="22.5546875" style="1" customWidth="1"/>
    <col min="3" max="3" width="5.1484375" style="1" customWidth="1"/>
    <col min="4" max="4" width="28.68359375" style="1" customWidth="1"/>
    <col min="5" max="5" width="30.76953125" style="1" customWidth="1"/>
    <col min="6" max="16384" width="8.94921875" style="1"/>
  </cols>
  <sheetData>
    <row r="1" spans="1:5" ht="36" customHeight="1" thickBot="1" x14ac:dyDescent="0.2">
      <c r="A1" s="583" t="s">
        <v>0</v>
      </c>
      <c r="B1" s="583"/>
      <c r="C1" s="583"/>
      <c r="D1" s="583"/>
      <c r="E1" s="583"/>
    </row>
    <row r="2" spans="1:5" ht="24" customHeight="1" x14ac:dyDescent="0.15">
      <c r="A2" s="585" t="s">
        <v>1</v>
      </c>
      <c r="B2" s="586" t="s">
        <v>2</v>
      </c>
      <c r="C2" s="588" t="s">
        <v>3</v>
      </c>
      <c r="D2" s="590" t="s">
        <v>4</v>
      </c>
      <c r="E2" s="591"/>
    </row>
    <row r="3" spans="1:5" ht="24" customHeight="1" x14ac:dyDescent="0.15">
      <c r="A3" s="555"/>
      <c r="B3" s="587"/>
      <c r="C3" s="589"/>
      <c r="D3" s="2" t="s">
        <v>5</v>
      </c>
      <c r="E3" s="11" t="s">
        <v>6</v>
      </c>
    </row>
    <row r="4" spans="1:5" ht="21" customHeight="1" x14ac:dyDescent="0.15">
      <c r="A4" s="12">
        <v>2141</v>
      </c>
      <c r="B4" s="3" t="s">
        <v>7</v>
      </c>
      <c r="C4" s="4"/>
      <c r="D4" s="5"/>
      <c r="E4" s="13"/>
    </row>
    <row r="5" spans="1:5" ht="26.25" x14ac:dyDescent="0.15">
      <c r="A5" s="14">
        <v>51</v>
      </c>
      <c r="B5" s="6" t="s">
        <v>8</v>
      </c>
      <c r="C5" s="4"/>
      <c r="D5" s="5"/>
      <c r="E5" s="13"/>
    </row>
    <row r="6" spans="1:5" ht="21" customHeight="1" x14ac:dyDescent="0.15">
      <c r="A6" s="15">
        <v>511</v>
      </c>
      <c r="B6" s="7" t="s">
        <v>9</v>
      </c>
      <c r="C6" s="93"/>
      <c r="D6" s="93"/>
      <c r="E6" s="178"/>
    </row>
    <row r="7" spans="1:5" ht="21" customHeight="1" x14ac:dyDescent="0.15">
      <c r="A7" s="16">
        <v>5111</v>
      </c>
      <c r="B7" s="8" t="s">
        <v>10</v>
      </c>
      <c r="C7" s="93"/>
      <c r="D7" s="5"/>
      <c r="E7" s="13"/>
    </row>
    <row r="8" spans="1:5" ht="21" customHeight="1" x14ac:dyDescent="0.15">
      <c r="A8" s="16">
        <v>5112</v>
      </c>
      <c r="B8" s="8" t="s">
        <v>11</v>
      </c>
      <c r="C8" s="9"/>
      <c r="D8" s="5"/>
      <c r="E8" s="13"/>
    </row>
    <row r="9" spans="1:5" ht="24" x14ac:dyDescent="0.15">
      <c r="A9" s="17">
        <v>5113</v>
      </c>
      <c r="B9" s="8" t="s">
        <v>12</v>
      </c>
      <c r="C9" s="9"/>
      <c r="D9" s="5"/>
      <c r="E9" s="13"/>
    </row>
    <row r="10" spans="1:5" ht="24" x14ac:dyDescent="0.15">
      <c r="A10" s="17">
        <v>5114</v>
      </c>
      <c r="B10" s="8" t="s">
        <v>13</v>
      </c>
      <c r="C10" s="9"/>
      <c r="D10" s="5"/>
      <c r="E10" s="13"/>
    </row>
    <row r="11" spans="1:5" ht="24" x14ac:dyDescent="0.15">
      <c r="A11" s="17">
        <v>5115</v>
      </c>
      <c r="B11" s="8" t="s">
        <v>14</v>
      </c>
      <c r="C11" s="93"/>
      <c r="D11" s="93"/>
      <c r="E11" s="178"/>
    </row>
    <row r="12" spans="1:5" ht="21" customHeight="1" x14ac:dyDescent="0.15">
      <c r="A12" s="17">
        <v>5116</v>
      </c>
      <c r="B12" s="8" t="s">
        <v>15</v>
      </c>
      <c r="C12" s="93"/>
      <c r="D12" s="93"/>
      <c r="E12" s="178"/>
    </row>
    <row r="13" spans="1:5" x14ac:dyDescent="0.15">
      <c r="A13" s="15">
        <v>512</v>
      </c>
      <c r="B13" s="7" t="s">
        <v>16</v>
      </c>
      <c r="C13" s="93"/>
      <c r="D13" s="93"/>
      <c r="E13" s="178"/>
    </row>
    <row r="14" spans="1:5" ht="21" customHeight="1" x14ac:dyDescent="0.15">
      <c r="A14" s="15">
        <v>513</v>
      </c>
      <c r="B14" s="7" t="s">
        <v>17</v>
      </c>
      <c r="C14" s="93"/>
      <c r="D14" s="93"/>
      <c r="E14" s="178"/>
    </row>
    <row r="15" spans="1:5" ht="24" x14ac:dyDescent="0.15">
      <c r="A15" s="17">
        <v>5131</v>
      </c>
      <c r="B15" s="8" t="s">
        <v>18</v>
      </c>
      <c r="C15" s="93"/>
      <c r="D15" s="93"/>
      <c r="E15" s="178"/>
    </row>
    <row r="16" spans="1:5" ht="21" customHeight="1" x14ac:dyDescent="0.15">
      <c r="A16" s="17">
        <v>5132</v>
      </c>
      <c r="B16" s="8" t="s">
        <v>19</v>
      </c>
      <c r="C16" s="93"/>
      <c r="D16" s="93"/>
      <c r="E16" s="178"/>
    </row>
    <row r="17" spans="1:5" ht="21" customHeight="1" x14ac:dyDescent="0.15">
      <c r="A17" s="15">
        <v>514</v>
      </c>
      <c r="B17" s="7" t="s">
        <v>20</v>
      </c>
      <c r="C17" s="93"/>
      <c r="D17" s="93"/>
      <c r="E17" s="178"/>
    </row>
    <row r="18" spans="1:5" ht="35.25" x14ac:dyDescent="0.15">
      <c r="A18" s="17">
        <v>5141</v>
      </c>
      <c r="B18" s="8" t="s">
        <v>21</v>
      </c>
      <c r="C18" s="93"/>
      <c r="D18" s="93"/>
      <c r="E18" s="178"/>
    </row>
    <row r="19" spans="1:5" ht="46.5" x14ac:dyDescent="0.15">
      <c r="A19" s="17">
        <v>5142</v>
      </c>
      <c r="B19" s="8" t="s">
        <v>22</v>
      </c>
      <c r="C19" s="93"/>
      <c r="D19" s="93"/>
      <c r="E19" s="178"/>
    </row>
    <row r="20" spans="1:5" ht="21" customHeight="1" x14ac:dyDescent="0.15">
      <c r="A20" s="17">
        <v>5143</v>
      </c>
      <c r="B20" s="8" t="s">
        <v>23</v>
      </c>
      <c r="C20" s="93"/>
      <c r="D20" s="93"/>
      <c r="E20" s="178"/>
    </row>
    <row r="21" spans="1:5" ht="21" customHeight="1" x14ac:dyDescent="0.15">
      <c r="A21" s="17">
        <v>5144</v>
      </c>
      <c r="B21" s="8" t="s">
        <v>24</v>
      </c>
      <c r="C21" s="93"/>
      <c r="D21" s="93"/>
      <c r="E21" s="178"/>
    </row>
    <row r="22" spans="1:5" ht="21" customHeight="1" x14ac:dyDescent="0.15">
      <c r="A22" s="17">
        <v>5145</v>
      </c>
      <c r="B22" s="8" t="s">
        <v>25</v>
      </c>
      <c r="C22" s="93"/>
      <c r="D22" s="93"/>
      <c r="E22" s="178"/>
    </row>
    <row r="23" spans="1:5" ht="21" customHeight="1" x14ac:dyDescent="0.15">
      <c r="A23" s="17">
        <v>5146</v>
      </c>
      <c r="B23" s="8" t="s">
        <v>26</v>
      </c>
      <c r="C23" s="93"/>
      <c r="D23" s="93"/>
      <c r="E23" s="178"/>
    </row>
    <row r="24" spans="1:5" ht="21" customHeight="1" x14ac:dyDescent="0.15">
      <c r="A24" s="17">
        <v>5147</v>
      </c>
      <c r="B24" s="179"/>
      <c r="C24" s="93"/>
      <c r="D24" s="93"/>
      <c r="E24" s="178"/>
    </row>
    <row r="25" spans="1:5" ht="21" customHeight="1" x14ac:dyDescent="0.15">
      <c r="A25" s="17">
        <v>5148</v>
      </c>
      <c r="B25" s="179"/>
      <c r="C25" s="93"/>
      <c r="D25" s="93"/>
      <c r="E25" s="178"/>
    </row>
    <row r="26" spans="1:5" ht="21" customHeight="1" x14ac:dyDescent="0.15">
      <c r="A26" s="17">
        <v>5149</v>
      </c>
      <c r="B26" s="179"/>
      <c r="C26" s="93"/>
      <c r="D26" s="93"/>
      <c r="E26" s="178"/>
    </row>
    <row r="27" spans="1:5" x14ac:dyDescent="0.15">
      <c r="A27" s="14">
        <v>52</v>
      </c>
      <c r="B27" s="6" t="s">
        <v>27</v>
      </c>
      <c r="C27" s="171"/>
      <c r="D27" s="93"/>
      <c r="E27" s="178"/>
    </row>
    <row r="28" spans="1:5" ht="24" x14ac:dyDescent="0.15">
      <c r="A28" s="17">
        <v>521</v>
      </c>
      <c r="B28" s="8" t="s">
        <v>28</v>
      </c>
      <c r="C28" s="93"/>
      <c r="D28" s="93"/>
      <c r="E28" s="178"/>
    </row>
    <row r="29" spans="1:5" ht="24.75" thickBot="1" x14ac:dyDescent="0.2">
      <c r="A29" s="18">
        <v>522</v>
      </c>
      <c r="B29" s="19" t="s">
        <v>29</v>
      </c>
      <c r="C29" s="20"/>
      <c r="D29" s="21"/>
      <c r="E29" s="22"/>
    </row>
    <row r="30" spans="1:5" ht="36" customHeight="1" x14ac:dyDescent="0.15">
      <c r="A30" s="584" t="s">
        <v>49</v>
      </c>
      <c r="B30" s="584"/>
      <c r="C30" s="584"/>
      <c r="D30" s="584"/>
      <c r="E30" s="584"/>
    </row>
    <row r="32" spans="1:5" ht="36" customHeight="1" thickBot="1" x14ac:dyDescent="0.2">
      <c r="A32" s="583" t="s">
        <v>31</v>
      </c>
      <c r="B32" s="583"/>
      <c r="C32" s="583"/>
      <c r="D32" s="583"/>
      <c r="E32" s="583"/>
    </row>
    <row r="33" spans="1:5" ht="24" customHeight="1" x14ac:dyDescent="0.15">
      <c r="A33" s="592" t="s">
        <v>1</v>
      </c>
      <c r="B33" s="594" t="s">
        <v>2</v>
      </c>
      <c r="C33" s="596" t="s">
        <v>3</v>
      </c>
      <c r="D33" s="598" t="s">
        <v>4</v>
      </c>
      <c r="E33" s="599"/>
    </row>
    <row r="34" spans="1:5" ht="24" customHeight="1" x14ac:dyDescent="0.15">
      <c r="A34" s="593"/>
      <c r="B34" s="595"/>
      <c r="C34" s="597"/>
      <c r="D34" s="23" t="s">
        <v>5</v>
      </c>
      <c r="E34" s="27" t="s">
        <v>6</v>
      </c>
    </row>
    <row r="35" spans="1:5" ht="24" x14ac:dyDescent="0.15">
      <c r="A35" s="28">
        <v>523</v>
      </c>
      <c r="B35" s="24" t="s">
        <v>32</v>
      </c>
      <c r="C35" s="94"/>
      <c r="D35" s="93"/>
      <c r="E35" s="178"/>
    </row>
    <row r="36" spans="1:5" ht="21" customHeight="1" x14ac:dyDescent="0.15">
      <c r="A36" s="31">
        <v>524</v>
      </c>
      <c r="B36" s="180"/>
      <c r="C36" s="94"/>
      <c r="D36" s="93"/>
      <c r="E36" s="178"/>
    </row>
    <row r="37" spans="1:5" ht="21" customHeight="1" x14ac:dyDescent="0.15">
      <c r="A37" s="31">
        <v>525</v>
      </c>
      <c r="B37" s="180"/>
      <c r="C37" s="94"/>
      <c r="D37" s="93"/>
      <c r="E37" s="178"/>
    </row>
    <row r="38" spans="1:5" ht="21" customHeight="1" x14ac:dyDescent="0.15">
      <c r="A38" s="31">
        <v>526</v>
      </c>
      <c r="B38" s="180"/>
      <c r="C38" s="94"/>
      <c r="D38" s="93"/>
      <c r="E38" s="178"/>
    </row>
    <row r="39" spans="1:5" ht="21" customHeight="1" x14ac:dyDescent="0.15">
      <c r="A39" s="33">
        <v>53</v>
      </c>
      <c r="B39" s="6" t="s">
        <v>33</v>
      </c>
      <c r="C39" s="171"/>
      <c r="D39" s="93"/>
      <c r="E39" s="178"/>
    </row>
    <row r="40" spans="1:5" ht="26.25" x14ac:dyDescent="0.15">
      <c r="A40" s="29">
        <v>54</v>
      </c>
      <c r="B40" s="25" t="s">
        <v>34</v>
      </c>
      <c r="C40" s="4"/>
      <c r="D40" s="5"/>
      <c r="E40" s="13"/>
    </row>
    <row r="41" spans="1:5" ht="21" customHeight="1" x14ac:dyDescent="0.15">
      <c r="A41" s="16">
        <v>541</v>
      </c>
      <c r="B41" s="8" t="s">
        <v>35</v>
      </c>
      <c r="C41" s="93"/>
      <c r="D41" s="5"/>
      <c r="E41" s="13"/>
    </row>
    <row r="42" spans="1:5" ht="21" customHeight="1" x14ac:dyDescent="0.15">
      <c r="A42" s="16">
        <v>542</v>
      </c>
      <c r="B42" s="8" t="s">
        <v>36</v>
      </c>
      <c r="C42" s="9"/>
      <c r="D42" s="5"/>
      <c r="E42" s="13"/>
    </row>
    <row r="43" spans="1:5" ht="21" customHeight="1" x14ac:dyDescent="0.15">
      <c r="A43" s="16">
        <v>543</v>
      </c>
      <c r="B43" s="8" t="s">
        <v>37</v>
      </c>
      <c r="C43" s="9"/>
      <c r="D43" s="5"/>
      <c r="E43" s="13"/>
    </row>
    <row r="44" spans="1:5" ht="21" customHeight="1" x14ac:dyDescent="0.15">
      <c r="A44" s="16">
        <v>544</v>
      </c>
      <c r="B44" s="8" t="s">
        <v>38</v>
      </c>
      <c r="C44" s="9"/>
      <c r="D44" s="5"/>
      <c r="E44" s="13"/>
    </row>
    <row r="45" spans="1:5" ht="21" customHeight="1" x14ac:dyDescent="0.15">
      <c r="A45" s="16">
        <v>545</v>
      </c>
      <c r="B45" s="179"/>
      <c r="C45" s="93"/>
      <c r="D45" s="93"/>
      <c r="E45" s="178"/>
    </row>
    <row r="46" spans="1:5" ht="21" customHeight="1" x14ac:dyDescent="0.15">
      <c r="A46" s="16">
        <v>546</v>
      </c>
      <c r="B46" s="179"/>
      <c r="C46" s="93"/>
      <c r="D46" s="93"/>
      <c r="E46" s="178"/>
    </row>
    <row r="47" spans="1:5" ht="21" customHeight="1" x14ac:dyDescent="0.15">
      <c r="A47" s="16">
        <v>547</v>
      </c>
      <c r="B47" s="179"/>
      <c r="C47" s="93"/>
      <c r="D47" s="93"/>
      <c r="E47" s="178"/>
    </row>
    <row r="48" spans="1:5" ht="21" customHeight="1" x14ac:dyDescent="0.15">
      <c r="A48" s="16">
        <v>548</v>
      </c>
      <c r="B48" s="179"/>
      <c r="C48" s="93"/>
      <c r="D48" s="93"/>
      <c r="E48" s="178"/>
    </row>
    <row r="49" spans="1:5" ht="21" customHeight="1" x14ac:dyDescent="0.15">
      <c r="A49" s="16">
        <v>549</v>
      </c>
      <c r="B49" s="179"/>
      <c r="C49" s="93"/>
      <c r="D49" s="93"/>
      <c r="E49" s="178"/>
    </row>
    <row r="50" spans="1:5" ht="21" customHeight="1" x14ac:dyDescent="0.15">
      <c r="A50" s="14">
        <v>55</v>
      </c>
      <c r="B50" s="6" t="s">
        <v>39</v>
      </c>
      <c r="C50" s="171"/>
      <c r="D50" s="93"/>
      <c r="E50" s="178"/>
    </row>
    <row r="51" spans="1:5" ht="21" customHeight="1" x14ac:dyDescent="0.15">
      <c r="A51" s="34"/>
      <c r="B51" s="7" t="s">
        <v>40</v>
      </c>
      <c r="C51" s="93"/>
      <c r="D51" s="93"/>
      <c r="E51" s="178"/>
    </row>
    <row r="52" spans="1:5" ht="21" customHeight="1" x14ac:dyDescent="0.15">
      <c r="A52" s="14">
        <v>56</v>
      </c>
      <c r="B52" s="6" t="s">
        <v>41</v>
      </c>
      <c r="C52" s="171"/>
      <c r="D52" s="93"/>
      <c r="E52" s="178"/>
    </row>
    <row r="53" spans="1:5" ht="21" customHeight="1" x14ac:dyDescent="0.15">
      <c r="A53" s="14">
        <v>57</v>
      </c>
      <c r="B53" s="6" t="s">
        <v>42</v>
      </c>
      <c r="C53" s="171"/>
      <c r="D53" s="93"/>
      <c r="E53" s="178"/>
    </row>
    <row r="54" spans="1:5" ht="21" customHeight="1" x14ac:dyDescent="0.15">
      <c r="A54" s="14">
        <v>58</v>
      </c>
      <c r="B54" s="6" t="s">
        <v>43</v>
      </c>
      <c r="C54" s="171"/>
      <c r="D54" s="93"/>
      <c r="E54" s="178"/>
    </row>
    <row r="55" spans="1:5" ht="21" customHeight="1" x14ac:dyDescent="0.15">
      <c r="A55" s="17">
        <v>581</v>
      </c>
      <c r="B55" s="8" t="s">
        <v>44</v>
      </c>
      <c r="C55" s="93"/>
      <c r="D55" s="93"/>
      <c r="E55" s="178"/>
    </row>
    <row r="56" spans="1:5" ht="21" customHeight="1" x14ac:dyDescent="0.15">
      <c r="A56" s="17">
        <v>582</v>
      </c>
      <c r="B56" s="8" t="s">
        <v>45</v>
      </c>
      <c r="C56" s="93"/>
      <c r="D56" s="93"/>
      <c r="E56" s="178"/>
    </row>
    <row r="57" spans="1:5" ht="21" customHeight="1" x14ac:dyDescent="0.15">
      <c r="A57" s="17">
        <v>583</v>
      </c>
      <c r="B57" s="8" t="s">
        <v>46</v>
      </c>
      <c r="C57" s="93"/>
      <c r="D57" s="93"/>
      <c r="E57" s="178"/>
    </row>
    <row r="58" spans="1:5" ht="24" x14ac:dyDescent="0.15">
      <c r="A58" s="30">
        <v>584</v>
      </c>
      <c r="B58" s="26" t="s">
        <v>47</v>
      </c>
      <c r="C58" s="93"/>
      <c r="D58" s="93"/>
      <c r="E58" s="178"/>
    </row>
    <row r="59" spans="1:5" ht="21" customHeight="1" x14ac:dyDescent="0.15">
      <c r="A59" s="17">
        <v>585</v>
      </c>
      <c r="B59" s="179"/>
      <c r="C59" s="93"/>
      <c r="D59" s="93"/>
      <c r="E59" s="178"/>
    </row>
    <row r="60" spans="1:5" ht="21" customHeight="1" x14ac:dyDescent="0.15">
      <c r="A60" s="17">
        <v>586</v>
      </c>
      <c r="B60" s="179"/>
      <c r="C60" s="93"/>
      <c r="D60" s="93"/>
      <c r="E60" s="178"/>
    </row>
    <row r="61" spans="1:5" ht="21" customHeight="1" x14ac:dyDescent="0.15">
      <c r="A61" s="17">
        <v>587</v>
      </c>
      <c r="B61" s="179"/>
      <c r="C61" s="93"/>
      <c r="D61" s="93"/>
      <c r="E61" s="178"/>
    </row>
    <row r="62" spans="1:5" ht="21" customHeight="1" x14ac:dyDescent="0.15">
      <c r="A62" s="17">
        <v>588</v>
      </c>
      <c r="B62" s="179"/>
      <c r="C62" s="93"/>
      <c r="D62" s="93"/>
      <c r="E62" s="178"/>
    </row>
    <row r="63" spans="1:5" ht="21" customHeight="1" x14ac:dyDescent="0.15">
      <c r="A63" s="17">
        <v>589</v>
      </c>
      <c r="B63" s="179"/>
      <c r="C63" s="93"/>
      <c r="D63" s="93"/>
      <c r="E63" s="178"/>
    </row>
    <row r="64" spans="1:5" ht="21" customHeight="1" thickBot="1" x14ac:dyDescent="0.2">
      <c r="A64" s="35">
        <v>5</v>
      </c>
      <c r="B64" s="36" t="s">
        <v>48</v>
      </c>
      <c r="C64" s="37"/>
      <c r="D64" s="21"/>
      <c r="E64" s="22"/>
    </row>
    <row r="65" spans="1:5" ht="36" customHeight="1" x14ac:dyDescent="0.15">
      <c r="A65" s="584" t="s">
        <v>69</v>
      </c>
      <c r="B65" s="584"/>
      <c r="C65" s="584"/>
      <c r="D65" s="584"/>
      <c r="E65" s="584"/>
    </row>
  </sheetData>
  <sheetProtection algorithmName="SHA-512" hashValue="59YBG5Hgd2A/ycRYQ+U9nGqRzfjW3vtAUU4lhM3EH/TkZul2Zw4S7CySRF/XSmzuWmxSvf+ip1qlTcsbN3XfLA==" saltValue="3xEdE5KFqPsQwRJPYBwUew==" spinCount="100000" sheet="1" objects="1" scenarios="1" formatCells="0" formatColumns="0" formatRows="0"/>
  <protectedRanges>
    <protectedRange sqref="C4:E23 B24:E26 C27:E29 C35:E35 B36:E38 C39:E44 B45:E49 C50:E58 B59:E63 C64:E64" name="تعديل ضريبي"/>
  </protectedRanges>
  <mergeCells count="12">
    <mergeCell ref="A65:E65"/>
    <mergeCell ref="A32:E32"/>
    <mergeCell ref="A33:A34"/>
    <mergeCell ref="B33:B34"/>
    <mergeCell ref="C33:C34"/>
    <mergeCell ref="D33:E33"/>
    <mergeCell ref="A1:E1"/>
    <mergeCell ref="A30:E30"/>
    <mergeCell ref="A2:A3"/>
    <mergeCell ref="B2:B3"/>
    <mergeCell ref="C2:C3"/>
    <mergeCell ref="D2:E2"/>
  </mergeCells>
  <printOptions horizontalCentered="1" verticalCentered="1"/>
  <pageMargins left="0" right="0" top="0" bottom="0" header="0" footer="0"/>
  <pageSetup paperSize="9" orientation="portrait" r:id="rId1"/>
  <rowBreaks count="1" manualBreakCount="1">
    <brk id="30" max="4"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20"/>
  <sheetViews>
    <sheetView rightToLeft="1" tabSelected="1" workbookViewId="0">
      <selection activeCell="X19" sqref="X19:AH19"/>
    </sheetView>
  </sheetViews>
  <sheetFormatPr defaultColWidth="8.94921875" defaultRowHeight="13.5" x14ac:dyDescent="0.15"/>
  <cols>
    <col min="1" max="8" width="2.6953125" style="1" customWidth="1"/>
    <col min="9" max="9" width="3.4296875" style="1" customWidth="1"/>
    <col min="10" max="18" width="2.6953125" style="1" customWidth="1"/>
    <col min="19" max="19" width="3.0625" style="1" customWidth="1"/>
    <col min="20" max="34" width="2.6953125" style="1" customWidth="1"/>
    <col min="35" max="16384" width="8.94921875" style="1"/>
  </cols>
  <sheetData>
    <row r="1" spans="1:34" ht="12" customHeight="1" x14ac:dyDescent="0.15">
      <c r="A1" s="338" t="s">
        <v>349</v>
      </c>
      <c r="B1" s="338"/>
      <c r="C1" s="338"/>
      <c r="D1" s="338"/>
      <c r="E1" s="338"/>
      <c r="F1" s="338"/>
      <c r="G1" s="338"/>
      <c r="H1" s="338"/>
      <c r="I1" s="338"/>
      <c r="AC1" s="313" t="s">
        <v>561</v>
      </c>
      <c r="AD1" s="313"/>
      <c r="AE1" s="313"/>
      <c r="AF1" s="313"/>
      <c r="AG1" s="313"/>
      <c r="AH1" s="313"/>
    </row>
    <row r="2" spans="1:34" ht="12" customHeight="1" x14ac:dyDescent="0.15">
      <c r="A2" s="338"/>
      <c r="B2" s="338"/>
      <c r="C2" s="338"/>
      <c r="D2" s="338"/>
      <c r="E2" s="338"/>
      <c r="F2" s="338"/>
      <c r="G2" s="338"/>
      <c r="H2" s="338"/>
      <c r="I2" s="338"/>
      <c r="W2" s="337" t="s">
        <v>348</v>
      </c>
      <c r="X2" s="337"/>
      <c r="Y2" s="337"/>
      <c r="Z2" s="337"/>
      <c r="AA2" s="337"/>
      <c r="AB2" s="337"/>
      <c r="AC2" s="314"/>
      <c r="AD2" s="314"/>
      <c r="AE2" s="314"/>
      <c r="AF2" s="314"/>
      <c r="AG2" s="314"/>
      <c r="AH2" s="314"/>
    </row>
    <row r="3" spans="1:34" ht="12" customHeight="1" x14ac:dyDescent="0.15">
      <c r="A3" s="339" t="s">
        <v>554</v>
      </c>
      <c r="B3" s="338"/>
      <c r="C3" s="338"/>
      <c r="D3" s="338"/>
      <c r="E3" s="338"/>
      <c r="F3" s="338"/>
      <c r="G3" s="338"/>
      <c r="H3" s="338"/>
      <c r="I3" s="338"/>
      <c r="W3" s="337"/>
      <c r="X3" s="337"/>
      <c r="Y3" s="337"/>
      <c r="Z3" s="337"/>
      <c r="AA3" s="337"/>
      <c r="AB3" s="337"/>
      <c r="AC3" s="315"/>
      <c r="AD3" s="315"/>
      <c r="AE3" s="315"/>
      <c r="AF3" s="315"/>
      <c r="AG3" s="315"/>
      <c r="AH3" s="315"/>
    </row>
    <row r="4" spans="1:34" ht="12" customHeight="1" x14ac:dyDescent="0.15">
      <c r="A4" s="338"/>
      <c r="B4" s="338"/>
      <c r="C4" s="338"/>
      <c r="D4" s="338"/>
      <c r="E4" s="338"/>
      <c r="F4" s="338"/>
      <c r="G4" s="338"/>
      <c r="H4" s="338"/>
      <c r="I4" s="338"/>
      <c r="W4" s="338" t="s">
        <v>562</v>
      </c>
      <c r="X4" s="338"/>
      <c r="Y4" s="338"/>
      <c r="Z4" s="338"/>
      <c r="AA4" s="338"/>
      <c r="AB4" s="125"/>
      <c r="AC4" s="314"/>
      <c r="AD4" s="314"/>
      <c r="AE4" s="314"/>
      <c r="AF4" s="314"/>
      <c r="AG4" s="314"/>
      <c r="AH4" s="314"/>
    </row>
    <row r="5" spans="1:34" ht="12" customHeight="1" x14ac:dyDescent="0.15">
      <c r="A5" s="339" t="s">
        <v>350</v>
      </c>
      <c r="B5" s="338"/>
      <c r="C5" s="338"/>
      <c r="D5" s="338"/>
      <c r="E5" s="338"/>
      <c r="F5" s="338"/>
      <c r="G5" s="338"/>
      <c r="H5" s="338"/>
      <c r="I5" s="338"/>
      <c r="W5" s="338"/>
      <c r="X5" s="338"/>
      <c r="Y5" s="338"/>
      <c r="Z5" s="338"/>
      <c r="AA5" s="338"/>
      <c r="AB5" s="128"/>
    </row>
    <row r="6" spans="1:34" ht="12" customHeight="1" x14ac:dyDescent="0.15">
      <c r="A6" s="338"/>
      <c r="B6" s="338"/>
      <c r="C6" s="338"/>
      <c r="D6" s="338"/>
      <c r="E6" s="338"/>
      <c r="F6" s="338"/>
      <c r="G6" s="338"/>
      <c r="H6" s="338"/>
      <c r="I6" s="338"/>
    </row>
    <row r="7" spans="1:34" ht="20.25" x14ac:dyDescent="0.15">
      <c r="A7" s="347" t="s">
        <v>546</v>
      </c>
      <c r="B7" s="347"/>
      <c r="C7" s="347"/>
      <c r="D7" s="347"/>
      <c r="E7" s="347"/>
      <c r="F7" s="347"/>
      <c r="G7" s="347"/>
      <c r="H7" s="347"/>
      <c r="I7" s="347"/>
      <c r="J7" s="347"/>
      <c r="K7" s="347"/>
      <c r="L7" s="347"/>
      <c r="M7" s="347"/>
      <c r="N7" s="347"/>
      <c r="O7" s="347"/>
      <c r="P7" s="347"/>
      <c r="Q7" s="347"/>
      <c r="R7" s="347"/>
      <c r="S7" s="346"/>
      <c r="T7" s="346"/>
      <c r="U7" s="346"/>
      <c r="V7" s="346"/>
      <c r="W7" s="249" t="s">
        <v>398</v>
      </c>
      <c r="X7" s="249"/>
      <c r="Y7" s="249"/>
      <c r="Z7" s="249"/>
      <c r="AA7" s="249"/>
      <c r="AB7" s="249"/>
      <c r="AC7" s="249"/>
      <c r="AD7" s="249"/>
      <c r="AE7" s="249"/>
      <c r="AF7" s="249"/>
      <c r="AG7" s="249"/>
      <c r="AH7" s="249"/>
    </row>
    <row r="8" spans="1:34" ht="3.75" customHeight="1" x14ac:dyDescent="0.15">
      <c r="A8" s="347"/>
      <c r="B8" s="347"/>
      <c r="C8" s="347"/>
      <c r="D8" s="347"/>
      <c r="E8" s="347"/>
      <c r="F8" s="347"/>
      <c r="G8" s="347"/>
      <c r="H8" s="347"/>
      <c r="I8" s="347"/>
      <c r="J8" s="347"/>
      <c r="K8" s="347"/>
      <c r="L8" s="347"/>
      <c r="M8" s="347"/>
      <c r="N8" s="347"/>
      <c r="O8" s="347"/>
      <c r="P8" s="347"/>
      <c r="Q8" s="347"/>
      <c r="R8" s="347"/>
      <c r="S8" s="249"/>
      <c r="T8" s="249"/>
      <c r="U8" s="249"/>
      <c r="V8" s="249"/>
      <c r="W8" s="249"/>
      <c r="X8" s="249"/>
      <c r="Y8" s="249"/>
      <c r="Z8" s="249"/>
      <c r="AA8" s="249"/>
      <c r="AB8" s="249"/>
      <c r="AC8" s="249"/>
      <c r="AD8" s="249"/>
      <c r="AE8" s="249"/>
      <c r="AF8" s="249"/>
      <c r="AG8" s="249"/>
      <c r="AH8" s="249"/>
    </row>
    <row r="9" spans="1:34" ht="18" thickBot="1" x14ac:dyDescent="0.2">
      <c r="A9" s="348" t="s">
        <v>345</v>
      </c>
      <c r="B9" s="348"/>
      <c r="C9" s="348"/>
      <c r="D9" s="348"/>
      <c r="E9" s="348"/>
      <c r="F9" s="348"/>
      <c r="G9" s="348"/>
      <c r="H9" s="348"/>
      <c r="I9" s="348"/>
      <c r="J9" s="348"/>
      <c r="K9" s="348"/>
      <c r="L9" s="348"/>
      <c r="M9" s="348"/>
      <c r="N9" s="348"/>
      <c r="O9" s="348"/>
      <c r="P9" s="348"/>
      <c r="Q9" s="348"/>
      <c r="R9" s="348"/>
      <c r="S9" s="348"/>
      <c r="T9" s="348"/>
      <c r="U9" s="348"/>
      <c r="V9" s="348"/>
      <c r="W9" s="348"/>
      <c r="X9" s="348"/>
      <c r="Y9" s="348"/>
      <c r="Z9" s="348"/>
      <c r="AA9" s="348"/>
      <c r="AB9" s="348"/>
      <c r="AC9" s="348"/>
      <c r="AD9" s="348"/>
      <c r="AE9" s="348"/>
      <c r="AF9" s="348"/>
      <c r="AG9" s="348"/>
      <c r="AH9" s="348"/>
    </row>
    <row r="10" spans="1:34" s="284" customFormat="1" ht="20.25" customHeight="1" thickBot="1" x14ac:dyDescent="0.2">
      <c r="H10" s="406" t="s">
        <v>351</v>
      </c>
      <c r="I10" s="407"/>
      <c r="J10" s="407"/>
      <c r="K10" s="407"/>
      <c r="L10" s="407"/>
      <c r="M10" s="407"/>
      <c r="N10" s="407"/>
      <c r="O10" s="408"/>
      <c r="P10" s="285"/>
      <c r="Q10" s="285"/>
      <c r="R10" s="285"/>
      <c r="S10" s="285"/>
      <c r="T10" s="285"/>
      <c r="U10" s="285"/>
      <c r="V10" s="285"/>
      <c r="W10" s="285"/>
      <c r="X10" s="285"/>
      <c r="Y10" s="285"/>
      <c r="Z10" s="285"/>
      <c r="AA10" s="286"/>
    </row>
    <row r="11" spans="1:34" ht="6.75" customHeight="1" thickBot="1" x14ac:dyDescent="0.2"/>
    <row r="12" spans="1:34" ht="20.25" customHeight="1" x14ac:dyDescent="0.15">
      <c r="H12" s="325" t="s">
        <v>352</v>
      </c>
      <c r="I12" s="326"/>
      <c r="J12" s="326"/>
      <c r="K12" s="326"/>
      <c r="L12" s="409" t="s">
        <v>563</v>
      </c>
      <c r="M12" s="409"/>
      <c r="N12" s="409"/>
      <c r="O12" s="409"/>
      <c r="P12" s="409"/>
      <c r="Q12" s="409"/>
      <c r="R12" s="409"/>
      <c r="S12" s="409"/>
      <c r="T12" s="409"/>
      <c r="U12" s="409"/>
      <c r="V12" s="409"/>
      <c r="W12" s="409"/>
      <c r="X12" s="409"/>
      <c r="Y12" s="409"/>
      <c r="Z12" s="409"/>
      <c r="AA12" s="410"/>
    </row>
    <row r="13" spans="1:34" ht="3.75" customHeight="1" thickBot="1" x14ac:dyDescent="0.2">
      <c r="H13" s="327"/>
      <c r="I13" s="328"/>
      <c r="J13" s="328"/>
      <c r="K13" s="328"/>
      <c r="L13" s="329"/>
      <c r="M13" s="329"/>
      <c r="N13" s="329"/>
      <c r="O13" s="329"/>
      <c r="P13" s="329"/>
      <c r="Q13" s="329"/>
      <c r="R13" s="329"/>
      <c r="S13" s="329"/>
      <c r="T13" s="329"/>
      <c r="U13" s="329"/>
      <c r="V13" s="329"/>
      <c r="W13" s="329"/>
      <c r="X13" s="329"/>
      <c r="Y13" s="329"/>
      <c r="Z13" s="329"/>
      <c r="AA13" s="330"/>
    </row>
    <row r="14" spans="1:34" ht="5.25" customHeight="1" thickBot="1" x14ac:dyDescent="0.2"/>
    <row r="15" spans="1:34" ht="33" customHeight="1" thickBot="1" x14ac:dyDescent="0.2">
      <c r="A15" s="443" t="s">
        <v>439</v>
      </c>
      <c r="B15" s="344"/>
      <c r="C15" s="344"/>
      <c r="D15" s="344"/>
      <c r="E15" s="344"/>
      <c r="F15" s="344"/>
      <c r="G15" s="344"/>
      <c r="H15" s="344"/>
      <c r="I15" s="344"/>
      <c r="J15" s="344"/>
      <c r="K15" s="344"/>
      <c r="L15" s="344"/>
      <c r="M15" s="344"/>
      <c r="N15" s="344"/>
      <c r="O15" s="344"/>
      <c r="P15" s="344"/>
      <c r="Q15" s="345"/>
      <c r="R15" s="341" t="s">
        <v>555</v>
      </c>
      <c r="S15" s="342"/>
      <c r="T15" s="342"/>
      <c r="U15" s="342"/>
      <c r="V15" s="342"/>
      <c r="W15" s="343"/>
      <c r="X15" s="444"/>
      <c r="Y15" s="344"/>
      <c r="Z15" s="344"/>
      <c r="AA15" s="345"/>
      <c r="AB15" s="444" t="s">
        <v>556</v>
      </c>
      <c r="AC15" s="344"/>
      <c r="AD15" s="344"/>
      <c r="AE15" s="344"/>
      <c r="AF15" s="344"/>
      <c r="AG15" s="344"/>
      <c r="AH15" s="358"/>
    </row>
    <row r="16" spans="1:34" ht="6.75" customHeight="1" thickBot="1" x14ac:dyDescent="0.2"/>
    <row r="17" spans="1:34" ht="18" customHeight="1" x14ac:dyDescent="0.15">
      <c r="A17" s="331" t="s">
        <v>356</v>
      </c>
      <c r="B17" s="332"/>
      <c r="C17" s="332"/>
      <c r="D17" s="332"/>
      <c r="E17" s="332"/>
      <c r="F17" s="332"/>
      <c r="G17" s="332"/>
      <c r="H17" s="332"/>
      <c r="I17" s="332"/>
      <c r="J17" s="332"/>
      <c r="K17" s="332"/>
      <c r="L17" s="332"/>
      <c r="M17" s="332"/>
      <c r="N17" s="332"/>
      <c r="O17" s="333"/>
      <c r="P17" s="129"/>
      <c r="Q17" s="425" t="s">
        <v>353</v>
      </c>
      <c r="R17" s="426"/>
      <c r="S17" s="426"/>
      <c r="T17" s="427"/>
      <c r="U17" s="411" t="s">
        <v>359</v>
      </c>
      <c r="V17" s="412"/>
      <c r="W17" s="412"/>
      <c r="X17" s="412"/>
      <c r="Y17" s="431"/>
      <c r="Z17" s="431"/>
      <c r="AA17" s="431"/>
      <c r="AB17" s="431"/>
      <c r="AC17" s="431"/>
      <c r="AD17" s="431"/>
      <c r="AE17" s="431"/>
      <c r="AF17" s="431"/>
      <c r="AG17" s="431"/>
      <c r="AH17" s="432"/>
    </row>
    <row r="18" spans="1:34" ht="18" customHeight="1" x14ac:dyDescent="0.15">
      <c r="A18" s="334"/>
      <c r="B18" s="335"/>
      <c r="C18" s="335"/>
      <c r="D18" s="335"/>
      <c r="E18" s="335"/>
      <c r="F18" s="335"/>
      <c r="G18" s="335"/>
      <c r="H18" s="335"/>
      <c r="I18" s="335"/>
      <c r="J18" s="335"/>
      <c r="K18" s="335"/>
      <c r="L18" s="335"/>
      <c r="M18" s="335"/>
      <c r="N18" s="335"/>
      <c r="O18" s="336"/>
      <c r="P18" s="129"/>
      <c r="Q18" s="428"/>
      <c r="R18" s="429"/>
      <c r="S18" s="429"/>
      <c r="T18" s="430"/>
      <c r="U18" s="413" t="s">
        <v>360</v>
      </c>
      <c r="V18" s="414"/>
      <c r="W18" s="414"/>
      <c r="X18" s="322"/>
      <c r="Y18" s="322"/>
      <c r="Z18" s="322"/>
      <c r="AA18" s="322"/>
      <c r="AB18" s="322"/>
      <c r="AC18" s="340" t="s">
        <v>361</v>
      </c>
      <c r="AD18" s="340"/>
      <c r="AE18" s="340"/>
      <c r="AF18" s="323"/>
      <c r="AG18" s="323"/>
      <c r="AH18" s="324"/>
    </row>
    <row r="19" spans="1:34" ht="18" customHeight="1" x14ac:dyDescent="0.15">
      <c r="A19" s="349" t="s">
        <v>347</v>
      </c>
      <c r="B19" s="350"/>
      <c r="C19" s="350"/>
      <c r="D19" s="350"/>
      <c r="E19" s="350"/>
      <c r="F19" s="350"/>
      <c r="G19" s="353" t="s">
        <v>355</v>
      </c>
      <c r="H19" s="354"/>
      <c r="I19" s="354"/>
      <c r="J19" s="354"/>
      <c r="K19" s="354"/>
      <c r="L19" s="354"/>
      <c r="M19" s="354"/>
      <c r="N19" s="354"/>
      <c r="O19" s="355"/>
      <c r="P19" s="130"/>
      <c r="Q19" s="437" t="s">
        <v>357</v>
      </c>
      <c r="R19" s="438"/>
      <c r="S19" s="438"/>
      <c r="T19" s="439"/>
      <c r="U19" s="435" t="s">
        <v>362</v>
      </c>
      <c r="V19" s="436"/>
      <c r="W19" s="436"/>
      <c r="X19" s="318"/>
      <c r="Y19" s="318"/>
      <c r="Z19" s="318"/>
      <c r="AA19" s="318"/>
      <c r="AB19" s="318"/>
      <c r="AC19" s="318"/>
      <c r="AD19" s="318"/>
      <c r="AE19" s="318"/>
      <c r="AF19" s="318"/>
      <c r="AG19" s="318"/>
      <c r="AH19" s="319"/>
    </row>
    <row r="20" spans="1:34" ht="18" customHeight="1" x14ac:dyDescent="0.15">
      <c r="A20" s="351"/>
      <c r="B20" s="352"/>
      <c r="C20" s="352"/>
      <c r="D20" s="352"/>
      <c r="E20" s="352"/>
      <c r="F20" s="352"/>
      <c r="G20" s="356"/>
      <c r="H20" s="356"/>
      <c r="I20" s="356"/>
      <c r="J20" s="356"/>
      <c r="K20" s="356"/>
      <c r="L20" s="356"/>
      <c r="M20" s="356"/>
      <c r="N20" s="356"/>
      <c r="O20" s="357"/>
      <c r="P20" s="130"/>
      <c r="Q20" s="415"/>
      <c r="R20" s="416"/>
      <c r="S20" s="416"/>
      <c r="T20" s="417"/>
      <c r="U20" s="433" t="s">
        <v>363</v>
      </c>
      <c r="V20" s="434"/>
      <c r="W20" s="316"/>
      <c r="X20" s="316"/>
      <c r="Y20" s="316"/>
      <c r="Z20" s="316"/>
      <c r="AA20" s="316"/>
      <c r="AB20" s="316"/>
      <c r="AC20" s="316"/>
      <c r="AD20" s="316"/>
      <c r="AE20" s="316"/>
      <c r="AF20" s="316"/>
      <c r="AG20" s="316"/>
      <c r="AH20" s="317"/>
    </row>
    <row r="21" spans="1:34" ht="18" customHeight="1" x14ac:dyDescent="0.15">
      <c r="A21" s="455" t="s">
        <v>346</v>
      </c>
      <c r="B21" s="456"/>
      <c r="C21" s="456"/>
      <c r="D21" s="456"/>
      <c r="E21" s="456"/>
      <c r="F21" s="456"/>
      <c r="G21" s="162"/>
      <c r="I21" s="162" t="s">
        <v>365</v>
      </c>
      <c r="J21" s="423" t="s">
        <v>366</v>
      </c>
      <c r="K21" s="423"/>
      <c r="L21" s="423"/>
      <c r="M21" s="423"/>
      <c r="N21" s="423"/>
      <c r="O21" s="424"/>
      <c r="P21" s="130"/>
      <c r="Q21" s="440"/>
      <c r="R21" s="441"/>
      <c r="S21" s="441"/>
      <c r="T21" s="442"/>
      <c r="U21" s="459" t="s">
        <v>364</v>
      </c>
      <c r="V21" s="460"/>
      <c r="W21" s="460"/>
      <c r="X21" s="460"/>
      <c r="Y21" s="320"/>
      <c r="Z21" s="320"/>
      <c r="AA21" s="320"/>
      <c r="AB21" s="320"/>
      <c r="AC21" s="320"/>
      <c r="AD21" s="320"/>
      <c r="AE21" s="320"/>
      <c r="AF21" s="320"/>
      <c r="AG21" s="320"/>
      <c r="AH21" s="321"/>
    </row>
    <row r="22" spans="1:34" ht="18" customHeight="1" x14ac:dyDescent="0.15">
      <c r="A22" s="455"/>
      <c r="B22" s="456"/>
      <c r="C22" s="456"/>
      <c r="D22" s="456"/>
      <c r="E22" s="456"/>
      <c r="F22" s="456"/>
      <c r="G22" s="160"/>
      <c r="I22" s="162" t="s">
        <v>365</v>
      </c>
      <c r="J22" s="423" t="s">
        <v>367</v>
      </c>
      <c r="K22" s="423"/>
      <c r="L22" s="423"/>
      <c r="M22" s="423"/>
      <c r="N22" s="423"/>
      <c r="O22" s="424"/>
      <c r="P22" s="130"/>
      <c r="Q22" s="415" t="s">
        <v>358</v>
      </c>
      <c r="R22" s="416"/>
      <c r="S22" s="416"/>
      <c r="T22" s="417"/>
      <c r="U22" s="421" t="s">
        <v>354</v>
      </c>
      <c r="V22" s="446" t="s">
        <v>369</v>
      </c>
      <c r="W22" s="446"/>
      <c r="X22" s="446"/>
      <c r="Y22" s="450" t="s">
        <v>354</v>
      </c>
      <c r="Z22" s="446" t="s">
        <v>370</v>
      </c>
      <c r="AA22" s="446"/>
      <c r="AB22" s="446"/>
      <c r="AC22" s="446"/>
      <c r="AD22" s="450" t="s">
        <v>354</v>
      </c>
      <c r="AE22" s="446" t="s">
        <v>371</v>
      </c>
      <c r="AF22" s="446"/>
      <c r="AG22" s="446"/>
      <c r="AH22" s="447"/>
    </row>
    <row r="23" spans="1:34" ht="18" customHeight="1" thickBot="1" x14ac:dyDescent="0.2">
      <c r="A23" s="457"/>
      <c r="B23" s="458"/>
      <c r="C23" s="458"/>
      <c r="D23" s="458"/>
      <c r="E23" s="458"/>
      <c r="F23" s="458"/>
      <c r="G23" s="161"/>
      <c r="H23" s="146"/>
      <c r="I23" s="163" t="s">
        <v>365</v>
      </c>
      <c r="J23" s="453" t="s">
        <v>368</v>
      </c>
      <c r="K23" s="453"/>
      <c r="L23" s="453"/>
      <c r="M23" s="453"/>
      <c r="N23" s="453"/>
      <c r="O23" s="454"/>
      <c r="P23" s="130"/>
      <c r="Q23" s="418"/>
      <c r="R23" s="419"/>
      <c r="S23" s="419"/>
      <c r="T23" s="420"/>
      <c r="U23" s="422"/>
      <c r="V23" s="448"/>
      <c r="W23" s="448"/>
      <c r="X23" s="448"/>
      <c r="Y23" s="451"/>
      <c r="Z23" s="448"/>
      <c r="AA23" s="448"/>
      <c r="AB23" s="448"/>
      <c r="AC23" s="448"/>
      <c r="AD23" s="451"/>
      <c r="AE23" s="448"/>
      <c r="AF23" s="448"/>
      <c r="AG23" s="448"/>
      <c r="AH23" s="449"/>
    </row>
    <row r="24" spans="1:34" ht="30" customHeight="1" thickBot="1" x14ac:dyDescent="0.2">
      <c r="A24" s="452" t="s">
        <v>372</v>
      </c>
      <c r="B24" s="452"/>
      <c r="C24" s="452"/>
      <c r="D24" s="452"/>
      <c r="E24" s="452"/>
      <c r="F24" s="452"/>
      <c r="G24" s="452"/>
      <c r="H24" s="452"/>
      <c r="I24" s="452"/>
      <c r="J24" s="452"/>
      <c r="K24" s="452"/>
      <c r="L24" s="452"/>
      <c r="M24" s="452"/>
      <c r="N24" s="452"/>
      <c r="O24" s="452"/>
      <c r="P24" s="452"/>
      <c r="Q24" s="452"/>
      <c r="R24" s="452"/>
      <c r="S24" s="452"/>
      <c r="T24" s="452"/>
      <c r="U24" s="452"/>
      <c r="V24" s="452"/>
      <c r="W24" s="452"/>
      <c r="X24" s="452"/>
      <c r="Y24" s="452"/>
      <c r="Z24" s="452"/>
      <c r="AA24" s="452"/>
      <c r="AB24" s="452"/>
      <c r="AC24" s="452"/>
      <c r="AD24" s="452"/>
      <c r="AE24" s="452"/>
      <c r="AF24" s="452"/>
      <c r="AG24" s="452"/>
      <c r="AH24" s="452"/>
    </row>
    <row r="25" spans="1:34" ht="21" customHeight="1" thickBot="1" x14ac:dyDescent="0.2">
      <c r="A25" s="397" t="s">
        <v>564</v>
      </c>
      <c r="B25" s="397"/>
      <c r="C25" s="397"/>
      <c r="D25" s="397"/>
      <c r="E25" s="397"/>
      <c r="F25" s="397"/>
      <c r="G25" s="397"/>
      <c r="H25" s="397"/>
      <c r="I25" s="397"/>
      <c r="J25" s="397"/>
      <c r="K25" s="397"/>
      <c r="L25" s="397"/>
      <c r="M25" s="397"/>
      <c r="N25" s="397"/>
      <c r="O25" s="397"/>
      <c r="P25" s="397"/>
      <c r="Q25" s="397"/>
      <c r="R25" s="397"/>
      <c r="S25" s="397"/>
      <c r="T25" s="311"/>
      <c r="U25" s="310"/>
      <c r="V25" s="126"/>
      <c r="W25" s="126"/>
      <c r="X25" s="126"/>
      <c r="Y25" s="126"/>
      <c r="Z25" s="126"/>
      <c r="AA25" s="126"/>
      <c r="AB25" s="126"/>
      <c r="AC25" s="126"/>
      <c r="AD25" s="126"/>
      <c r="AE25" s="126"/>
      <c r="AF25" s="126"/>
      <c r="AG25" s="127"/>
    </row>
    <row r="26" spans="1:34" ht="25.5" customHeight="1" x14ac:dyDescent="0.15">
      <c r="A26" s="400" t="s">
        <v>373</v>
      </c>
      <c r="B26" s="400"/>
      <c r="C26" s="445"/>
      <c r="D26" s="445"/>
      <c r="E26" s="445"/>
      <c r="F26" s="445"/>
      <c r="G26" s="445"/>
      <c r="H26" s="445"/>
      <c r="I26" s="445"/>
      <c r="J26" s="445"/>
      <c r="K26" s="445"/>
      <c r="L26" s="445"/>
      <c r="M26" s="445"/>
      <c r="N26" s="445"/>
      <c r="O26" s="445"/>
      <c r="P26" s="445"/>
      <c r="Q26" s="445"/>
      <c r="R26" s="445"/>
      <c r="S26" s="445"/>
      <c r="T26" s="445"/>
      <c r="U26" s="445"/>
      <c r="V26" s="445"/>
      <c r="W26" s="445"/>
      <c r="X26" s="445"/>
      <c r="Y26" s="445"/>
      <c r="Z26" s="445"/>
      <c r="AA26" s="445"/>
      <c r="AB26" s="445"/>
      <c r="AC26" s="445"/>
      <c r="AD26" s="445"/>
      <c r="AE26" s="445"/>
      <c r="AF26" s="400" t="s">
        <v>374</v>
      </c>
      <c r="AG26" s="400"/>
      <c r="AH26" s="400"/>
    </row>
    <row r="27" spans="1:34" ht="21.75" customHeight="1" x14ac:dyDescent="0.15">
      <c r="A27" s="338" t="s">
        <v>547</v>
      </c>
      <c r="B27" s="338"/>
      <c r="C27" s="338"/>
      <c r="D27" s="338"/>
      <c r="E27" s="338"/>
      <c r="F27" s="338"/>
      <c r="G27" s="338"/>
      <c r="H27" s="338"/>
      <c r="I27" s="312"/>
      <c r="J27" s="397" t="s">
        <v>548</v>
      </c>
      <c r="K27" s="397"/>
      <c r="L27" s="397"/>
      <c r="M27" s="397"/>
      <c r="N27" s="397"/>
      <c r="O27" s="208" t="s">
        <v>354</v>
      </c>
      <c r="P27" s="397" t="s">
        <v>549</v>
      </c>
      <c r="Q27" s="397"/>
      <c r="R27" s="397"/>
      <c r="S27" s="397"/>
      <c r="T27" s="397"/>
      <c r="U27" s="208" t="s">
        <v>354</v>
      </c>
      <c r="V27" s="397" t="s">
        <v>550</v>
      </c>
      <c r="W27" s="397"/>
      <c r="X27" s="397"/>
      <c r="Y27" s="397"/>
      <c r="Z27" s="397"/>
      <c r="AA27"/>
      <c r="AB27" s="312" t="s">
        <v>354</v>
      </c>
      <c r="AC27" s="403" t="s">
        <v>553</v>
      </c>
      <c r="AD27" s="403"/>
      <c r="AE27" s="403"/>
      <c r="AF27" s="403"/>
      <c r="AG27" s="403"/>
      <c r="AH27" s="403"/>
    </row>
    <row r="28" spans="1:34" ht="3.75" customHeight="1" thickBot="1" x14ac:dyDescent="0.2">
      <c r="A28" s="170"/>
      <c r="B28" s="170"/>
      <c r="C28" s="170"/>
      <c r="D28" s="170"/>
      <c r="E28" s="170"/>
      <c r="F28" s="170"/>
      <c r="G28" s="170"/>
      <c r="H28" s="170"/>
      <c r="I28" s="170"/>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row>
    <row r="29" spans="1:34" ht="21.75" customHeight="1" thickBot="1" x14ac:dyDescent="0.2">
      <c r="A29" s="398" t="s">
        <v>551</v>
      </c>
      <c r="B29" s="398"/>
      <c r="C29" s="398"/>
      <c r="D29" s="398"/>
      <c r="E29" s="398"/>
      <c r="F29" s="398"/>
      <c r="G29" s="398"/>
      <c r="H29" s="398"/>
      <c r="I29" s="398"/>
      <c r="J29" s="399"/>
      <c r="K29" s="209"/>
      <c r="L29" s="210"/>
      <c r="M29" s="210"/>
      <c r="N29" s="210"/>
      <c r="O29" s="210"/>
      <c r="P29" s="210"/>
      <c r="Q29" s="210"/>
      <c r="R29" s="210"/>
      <c r="S29" s="210"/>
      <c r="T29" s="210"/>
      <c r="U29" s="210"/>
      <c r="V29" s="211"/>
      <c r="W29" s="400" t="s">
        <v>552</v>
      </c>
      <c r="X29" s="400"/>
      <c r="Y29" s="401"/>
      <c r="Z29" s="401"/>
      <c r="AA29" s="401"/>
      <c r="AB29" s="401"/>
      <c r="AC29" s="401"/>
      <c r="AD29" s="401"/>
      <c r="AE29" s="401"/>
      <c r="AF29" s="401"/>
      <c r="AG29" s="401"/>
      <c r="AH29" s="401"/>
    </row>
    <row r="30" spans="1:34" ht="18" customHeight="1" x14ac:dyDescent="0.15">
      <c r="A30" s="402"/>
      <c r="B30" s="402"/>
      <c r="C30" s="402"/>
      <c r="D30" s="402"/>
      <c r="E30" s="402"/>
      <c r="F30" s="402"/>
      <c r="G30" s="402"/>
      <c r="H30" s="402"/>
      <c r="I30" s="402"/>
      <c r="J30" s="402"/>
      <c r="K30" s="402"/>
      <c r="L30" s="402"/>
      <c r="M30" s="402"/>
      <c r="N30" s="402"/>
      <c r="O30" s="402"/>
      <c r="P30" s="402"/>
      <c r="Q30" s="402"/>
      <c r="R30" s="402"/>
      <c r="S30" s="402"/>
      <c r="T30" s="402"/>
      <c r="U30" s="402"/>
      <c r="V30" s="402"/>
      <c r="W30" s="402"/>
      <c r="X30" s="402"/>
      <c r="Y30" s="402"/>
      <c r="Z30" s="402"/>
      <c r="AA30" s="402"/>
      <c r="AB30" s="402"/>
      <c r="AC30" s="402"/>
      <c r="AD30" s="402"/>
      <c r="AE30" s="402"/>
      <c r="AF30" s="402"/>
      <c r="AG30" s="402"/>
      <c r="AH30" s="402"/>
    </row>
    <row r="31" spans="1:34" x14ac:dyDescent="0.15">
      <c r="A31" s="378" t="s">
        <v>520</v>
      </c>
      <c r="B31" s="378"/>
      <c r="C31" s="378"/>
      <c r="D31" s="378"/>
      <c r="E31" s="378"/>
      <c r="F31" s="378"/>
      <c r="G31" s="378"/>
      <c r="H31" s="378"/>
      <c r="I31" s="378"/>
      <c r="J31" s="378"/>
      <c r="K31" s="378"/>
      <c r="L31" s="378"/>
      <c r="M31" s="378"/>
      <c r="N31" s="378"/>
      <c r="O31" s="378"/>
      <c r="P31" s="378"/>
      <c r="Q31" s="378"/>
      <c r="R31" s="378"/>
      <c r="S31" s="378"/>
      <c r="T31" s="378"/>
      <c r="U31" s="378"/>
      <c r="V31" s="378"/>
      <c r="W31" s="378"/>
      <c r="X31" s="378"/>
      <c r="Y31" s="378"/>
      <c r="Z31" s="378"/>
      <c r="AA31" s="378"/>
      <c r="AB31" s="378"/>
      <c r="AC31" s="378"/>
      <c r="AD31" s="378"/>
      <c r="AE31" s="378"/>
      <c r="AF31" s="378"/>
      <c r="AG31" s="378"/>
      <c r="AH31" s="378"/>
    </row>
    <row r="32" spans="1:34" s="129" customFormat="1" ht="18" customHeight="1" x14ac:dyDescent="0.15">
      <c r="A32" s="370" t="s">
        <v>375</v>
      </c>
      <c r="B32" s="370"/>
      <c r="C32" s="370"/>
      <c r="D32" s="370"/>
      <c r="E32" s="370"/>
      <c r="F32" s="370"/>
      <c r="G32" s="370"/>
      <c r="H32" s="370"/>
      <c r="I32" s="370"/>
      <c r="J32" s="370"/>
      <c r="K32" s="370"/>
      <c r="L32" s="370"/>
      <c r="M32" s="370"/>
      <c r="N32" s="370"/>
      <c r="R32" s="396" t="s">
        <v>376</v>
      </c>
      <c r="S32" s="396"/>
      <c r="T32" s="396"/>
      <c r="U32" s="396"/>
      <c r="V32" s="396"/>
      <c r="W32" s="396"/>
      <c r="X32" s="396"/>
      <c r="Y32" s="396"/>
      <c r="Z32" s="396"/>
      <c r="AA32" s="396"/>
      <c r="AB32" s="396"/>
      <c r="AC32" s="396"/>
      <c r="AD32" s="396"/>
      <c r="AE32" s="396"/>
      <c r="AF32" s="396"/>
      <c r="AG32" s="396"/>
      <c r="AH32" s="396"/>
    </row>
    <row r="33" spans="1:34" s="129" customFormat="1" ht="18" customHeight="1" x14ac:dyDescent="0.15">
      <c r="A33" s="370" t="s">
        <v>379</v>
      </c>
      <c r="B33" s="370"/>
      <c r="C33" s="370"/>
      <c r="D33" s="370"/>
      <c r="E33" s="370"/>
      <c r="F33" s="370"/>
      <c r="G33" s="370"/>
      <c r="H33" s="370"/>
      <c r="I33" s="370"/>
      <c r="J33" s="370"/>
      <c r="K33" s="370"/>
      <c r="L33" s="370"/>
      <c r="M33" s="212" t="s">
        <v>354</v>
      </c>
      <c r="N33" s="129" t="s">
        <v>377</v>
      </c>
      <c r="O33" s="212" t="s">
        <v>354</v>
      </c>
      <c r="P33" s="129" t="s">
        <v>378</v>
      </c>
      <c r="R33" s="404" t="s">
        <v>387</v>
      </c>
      <c r="S33" s="404"/>
      <c r="T33" s="404"/>
      <c r="U33" s="404"/>
      <c r="V33" s="404"/>
      <c r="W33" s="394">
        <f>'قائمة المركز المالي'!D79</f>
        <v>0</v>
      </c>
      <c r="X33" s="395"/>
      <c r="Y33" s="395"/>
      <c r="Z33" s="395"/>
      <c r="AA33" s="395"/>
      <c r="AB33" s="395"/>
      <c r="AC33" s="395"/>
      <c r="AD33" s="395"/>
      <c r="AE33" s="395"/>
      <c r="AF33" s="395"/>
      <c r="AG33" s="395"/>
      <c r="AH33" s="395"/>
    </row>
    <row r="34" spans="1:34" s="129" customFormat="1" ht="18" customHeight="1" x14ac:dyDescent="0.15">
      <c r="A34" s="370" t="s">
        <v>380</v>
      </c>
      <c r="B34" s="370"/>
      <c r="C34" s="370"/>
      <c r="D34" s="370"/>
      <c r="E34" s="370"/>
      <c r="F34" s="370"/>
      <c r="G34" s="370"/>
      <c r="H34" s="370"/>
      <c r="I34" s="370"/>
      <c r="J34" s="370"/>
      <c r="K34" s="370"/>
      <c r="L34" s="370"/>
      <c r="M34" s="212" t="s">
        <v>354</v>
      </c>
      <c r="N34" s="129" t="s">
        <v>377</v>
      </c>
      <c r="O34" s="212" t="s">
        <v>354</v>
      </c>
      <c r="P34" s="129" t="s">
        <v>378</v>
      </c>
      <c r="R34" s="404" t="s">
        <v>388</v>
      </c>
      <c r="S34" s="404"/>
      <c r="T34" s="404"/>
      <c r="U34" s="404"/>
      <c r="V34" s="404"/>
      <c r="W34" s="404"/>
      <c r="X34" s="404"/>
      <c r="Y34" s="404"/>
      <c r="Z34" s="404"/>
      <c r="AA34" s="404"/>
      <c r="AB34" s="369"/>
      <c r="AC34" s="369"/>
      <c r="AD34" s="369"/>
      <c r="AE34" s="369"/>
      <c r="AF34" s="369"/>
      <c r="AG34" s="369"/>
      <c r="AH34" s="369"/>
    </row>
    <row r="35" spans="1:34" s="129" customFormat="1" ht="18" customHeight="1" x14ac:dyDescent="0.15">
      <c r="A35" s="370" t="s">
        <v>381</v>
      </c>
      <c r="B35" s="370"/>
      <c r="C35" s="370"/>
      <c r="D35" s="370"/>
      <c r="E35" s="370"/>
      <c r="F35" s="370"/>
      <c r="G35" s="370"/>
      <c r="H35" s="370"/>
      <c r="I35" s="370"/>
      <c r="J35" s="370"/>
      <c r="K35" s="370"/>
      <c r="L35" s="370"/>
      <c r="M35" s="212" t="s">
        <v>354</v>
      </c>
      <c r="N35" s="129" t="s">
        <v>377</v>
      </c>
      <c r="O35" s="212" t="s">
        <v>354</v>
      </c>
      <c r="P35" s="129" t="s">
        <v>378</v>
      </c>
      <c r="R35" s="405" t="s">
        <v>389</v>
      </c>
      <c r="S35" s="405"/>
      <c r="T35" s="392"/>
      <c r="U35" s="392"/>
      <c r="V35" s="405" t="s">
        <v>391</v>
      </c>
      <c r="W35" s="405"/>
      <c r="X35" s="405"/>
      <c r="Y35" s="405"/>
      <c r="Z35" s="405"/>
      <c r="AA35" s="414" t="s">
        <v>390</v>
      </c>
      <c r="AB35" s="414"/>
      <c r="AC35" s="414"/>
      <c r="AD35" s="414"/>
      <c r="AE35" s="414"/>
      <c r="AF35" s="369"/>
      <c r="AG35" s="369"/>
      <c r="AH35" s="369"/>
    </row>
    <row r="36" spans="1:34" s="129" customFormat="1" ht="18" customHeight="1" x14ac:dyDescent="0.15">
      <c r="A36" s="370" t="s">
        <v>382</v>
      </c>
      <c r="B36" s="370"/>
      <c r="C36" s="370"/>
      <c r="D36" s="370"/>
      <c r="E36" s="370"/>
      <c r="F36" s="370"/>
      <c r="G36" s="370"/>
      <c r="H36" s="370"/>
      <c r="I36" s="370"/>
      <c r="J36" s="370"/>
      <c r="K36" s="370"/>
      <c r="L36" s="370"/>
      <c r="M36" s="389" t="s">
        <v>354</v>
      </c>
      <c r="N36" s="388" t="s">
        <v>377</v>
      </c>
      <c r="O36" s="389" t="s">
        <v>354</v>
      </c>
      <c r="P36" s="388" t="s">
        <v>378</v>
      </c>
      <c r="R36" s="390" t="s">
        <v>392</v>
      </c>
      <c r="S36" s="390"/>
      <c r="T36" s="390"/>
      <c r="U36" s="390"/>
      <c r="V36" s="390"/>
      <c r="W36" s="390"/>
      <c r="X36" s="390"/>
      <c r="Y36" s="390"/>
      <c r="Z36" s="390"/>
      <c r="AA36" s="390"/>
      <c r="AB36" s="390"/>
      <c r="AC36" s="390"/>
      <c r="AD36" s="390"/>
      <c r="AE36" s="390"/>
      <c r="AF36" s="393"/>
      <c r="AG36" s="393"/>
      <c r="AH36" s="393"/>
    </row>
    <row r="37" spans="1:34" s="129" customFormat="1" ht="18" customHeight="1" x14ac:dyDescent="0.15">
      <c r="A37" s="370"/>
      <c r="B37" s="370"/>
      <c r="C37" s="370"/>
      <c r="D37" s="370"/>
      <c r="E37" s="370"/>
      <c r="F37" s="370"/>
      <c r="G37" s="370"/>
      <c r="H37" s="370"/>
      <c r="I37" s="370"/>
      <c r="J37" s="370"/>
      <c r="K37" s="370"/>
      <c r="L37" s="370"/>
      <c r="M37" s="389"/>
      <c r="N37" s="388"/>
      <c r="O37" s="389"/>
      <c r="P37" s="388"/>
      <c r="R37" s="391" t="s">
        <v>396</v>
      </c>
      <c r="S37" s="391"/>
      <c r="T37" s="391"/>
      <c r="U37" s="391"/>
      <c r="V37" s="391"/>
      <c r="W37" s="391"/>
      <c r="X37" s="391"/>
      <c r="Y37" s="391"/>
      <c r="Z37" s="391"/>
      <c r="AA37" s="391"/>
      <c r="AB37" s="391"/>
      <c r="AC37" s="391"/>
      <c r="AD37" s="391"/>
      <c r="AE37" s="391"/>
      <c r="AF37" s="391"/>
      <c r="AG37" s="391"/>
      <c r="AH37" s="391"/>
    </row>
    <row r="38" spans="1:34" s="129" customFormat="1" ht="18" customHeight="1" x14ac:dyDescent="0.15">
      <c r="A38" s="370" t="s">
        <v>383</v>
      </c>
      <c r="B38" s="370"/>
      <c r="C38" s="370"/>
      <c r="D38" s="370"/>
      <c r="E38" s="370"/>
      <c r="F38" s="370"/>
      <c r="G38" s="370"/>
      <c r="H38" s="370"/>
      <c r="I38" s="370"/>
      <c r="J38" s="370"/>
      <c r="K38" s="370"/>
      <c r="L38" s="370"/>
      <c r="M38" s="212" t="s">
        <v>354</v>
      </c>
      <c r="N38" s="129" t="s">
        <v>377</v>
      </c>
      <c r="O38" s="212" t="s">
        <v>354</v>
      </c>
      <c r="P38" s="129" t="s">
        <v>378</v>
      </c>
      <c r="R38" s="366" t="s">
        <v>393</v>
      </c>
      <c r="S38" s="366"/>
      <c r="T38" s="366"/>
      <c r="U38" s="366"/>
      <c r="V38" s="366"/>
      <c r="W38" s="368"/>
      <c r="X38" s="368"/>
      <c r="Y38" s="368"/>
      <c r="Z38" s="368"/>
      <c r="AA38" s="368"/>
      <c r="AB38" s="368"/>
      <c r="AC38" s="368"/>
      <c r="AD38" s="368"/>
      <c r="AE38" s="368"/>
      <c r="AF38" s="368"/>
      <c r="AG38" s="368"/>
      <c r="AH38" s="368"/>
    </row>
    <row r="39" spans="1:34" s="129" customFormat="1" ht="18" customHeight="1" x14ac:dyDescent="0.15">
      <c r="A39" s="370" t="s">
        <v>384</v>
      </c>
      <c r="B39" s="370"/>
      <c r="C39" s="370"/>
      <c r="D39" s="370"/>
      <c r="E39" s="370"/>
      <c r="F39" s="370"/>
      <c r="G39" s="370"/>
      <c r="H39" s="370"/>
      <c r="I39" s="370"/>
      <c r="J39" s="370"/>
      <c r="K39" s="370"/>
      <c r="L39" s="370"/>
      <c r="M39" s="212" t="s">
        <v>354</v>
      </c>
      <c r="N39" s="129" t="s">
        <v>377</v>
      </c>
      <c r="O39" s="212" t="s">
        <v>354</v>
      </c>
      <c r="P39" s="129" t="s">
        <v>378</v>
      </c>
      <c r="R39" s="366" t="s">
        <v>394</v>
      </c>
      <c r="S39" s="366"/>
      <c r="T39" s="366"/>
      <c r="U39" s="366"/>
      <c r="V39" s="366"/>
      <c r="W39" s="366"/>
      <c r="X39" s="366"/>
      <c r="Y39" s="366"/>
      <c r="Z39" s="366"/>
      <c r="AA39" s="369"/>
      <c r="AB39" s="369"/>
      <c r="AC39" s="369"/>
      <c r="AD39" s="369"/>
      <c r="AE39" s="369"/>
      <c r="AF39" s="369"/>
      <c r="AG39" s="369"/>
      <c r="AH39" s="369"/>
    </row>
    <row r="40" spans="1:34" s="129" customFormat="1" ht="18" customHeight="1" x14ac:dyDescent="0.15">
      <c r="A40" s="370" t="s">
        <v>385</v>
      </c>
      <c r="B40" s="370"/>
      <c r="C40" s="370"/>
      <c r="D40" s="370"/>
      <c r="E40" s="370"/>
      <c r="F40" s="370"/>
      <c r="G40" s="370"/>
      <c r="H40" s="370"/>
      <c r="I40" s="370"/>
      <c r="J40" s="370"/>
      <c r="K40" s="370"/>
      <c r="L40" s="370"/>
      <c r="M40" s="212" t="s">
        <v>354</v>
      </c>
      <c r="N40" s="129" t="s">
        <v>377</v>
      </c>
      <c r="O40" s="212" t="s">
        <v>354</v>
      </c>
      <c r="P40" s="129" t="s">
        <v>378</v>
      </c>
      <c r="R40" s="366" t="s">
        <v>395</v>
      </c>
      <c r="S40" s="366"/>
      <c r="T40" s="366"/>
      <c r="U40" s="366"/>
      <c r="V40" s="367"/>
      <c r="W40" s="367"/>
      <c r="X40" s="367"/>
      <c r="Y40" s="367"/>
      <c r="Z40" s="367"/>
      <c r="AA40" s="367"/>
      <c r="AB40" s="367"/>
      <c r="AC40" s="367"/>
      <c r="AD40" s="367"/>
      <c r="AE40" s="367"/>
      <c r="AF40" s="367"/>
      <c r="AG40" s="367"/>
      <c r="AH40" s="367"/>
    </row>
    <row r="41" spans="1:34" ht="3.75" customHeight="1" thickBot="1" x14ac:dyDescent="0.2">
      <c r="A41" s="131"/>
      <c r="B41" s="131"/>
      <c r="C41" s="131"/>
      <c r="D41" s="131"/>
      <c r="E41" s="131"/>
      <c r="F41" s="131"/>
      <c r="G41" s="131"/>
      <c r="H41" s="131"/>
      <c r="I41" s="131"/>
      <c r="J41" s="131"/>
      <c r="K41" s="131"/>
      <c r="L41" s="131"/>
      <c r="M41" s="212"/>
      <c r="N41" s="129"/>
      <c r="O41" s="212"/>
      <c r="P41" s="129"/>
      <c r="R41" s="136"/>
      <c r="S41" s="136"/>
      <c r="T41" s="136"/>
      <c r="U41" s="136"/>
      <c r="V41" s="136"/>
      <c r="W41" s="136"/>
      <c r="X41" s="137"/>
      <c r="Y41" s="137"/>
    </row>
    <row r="42" spans="1:34" ht="21" customHeight="1" thickBot="1" x14ac:dyDescent="0.2">
      <c r="A42" s="370" t="s">
        <v>386</v>
      </c>
      <c r="B42" s="370"/>
      <c r="C42" s="370"/>
      <c r="D42" s="370"/>
      <c r="E42" s="370"/>
      <c r="F42" s="370"/>
      <c r="G42" s="370"/>
      <c r="H42" s="370"/>
      <c r="I42" s="370"/>
      <c r="J42" s="370"/>
      <c r="K42" s="370"/>
      <c r="L42" s="370"/>
      <c r="M42" s="212" t="s">
        <v>354</v>
      </c>
      <c r="N42" s="129" t="s">
        <v>377</v>
      </c>
      <c r="O42" s="212" t="s">
        <v>354</v>
      </c>
      <c r="P42" s="129" t="s">
        <v>378</v>
      </c>
      <c r="R42" s="363" t="s">
        <v>397</v>
      </c>
      <c r="S42" s="363"/>
      <c r="T42" s="363"/>
      <c r="U42" s="363"/>
      <c r="V42" s="363"/>
      <c r="W42" s="363"/>
      <c r="X42" s="364"/>
      <c r="Y42" s="365"/>
    </row>
    <row r="43" spans="1:34" ht="3.75" customHeight="1" thickBot="1" x14ac:dyDescent="0.2">
      <c r="A43" s="131"/>
      <c r="B43" s="131"/>
      <c r="C43" s="131"/>
      <c r="D43" s="131"/>
      <c r="E43" s="131"/>
      <c r="F43" s="131"/>
      <c r="G43" s="131"/>
      <c r="H43" s="131"/>
      <c r="I43" s="131"/>
      <c r="J43" s="131"/>
      <c r="K43" s="131"/>
      <c r="L43" s="131"/>
      <c r="M43" s="129"/>
      <c r="N43" s="129"/>
      <c r="O43" s="129"/>
      <c r="P43" s="129"/>
      <c r="R43" s="136"/>
      <c r="S43" s="136"/>
      <c r="T43" s="136"/>
      <c r="U43" s="136"/>
      <c r="V43" s="136"/>
      <c r="W43" s="136"/>
      <c r="X43" s="137"/>
      <c r="Y43" s="137"/>
    </row>
    <row r="44" spans="1:34" s="10" customFormat="1" ht="19.5" customHeight="1" x14ac:dyDescent="0.15">
      <c r="C44" s="134" t="s">
        <v>398</v>
      </c>
      <c r="D44" s="359" t="s">
        <v>399</v>
      </c>
      <c r="E44" s="360"/>
      <c r="F44" s="360"/>
      <c r="G44" s="360"/>
      <c r="H44" s="360"/>
      <c r="I44" s="360"/>
      <c r="J44" s="362"/>
      <c r="K44" s="359" t="s">
        <v>400</v>
      </c>
      <c r="L44" s="360"/>
      <c r="M44" s="360"/>
      <c r="N44" s="360"/>
      <c r="O44" s="360"/>
      <c r="P44" s="360"/>
      <c r="Q44" s="362"/>
      <c r="R44" s="135" t="s">
        <v>398</v>
      </c>
      <c r="S44" s="359" t="s">
        <v>399</v>
      </c>
      <c r="T44" s="360"/>
      <c r="U44" s="360"/>
      <c r="V44" s="360"/>
      <c r="W44" s="360"/>
      <c r="X44" s="360"/>
      <c r="Y44" s="362"/>
      <c r="Z44" s="359" t="s">
        <v>400</v>
      </c>
      <c r="AA44" s="360"/>
      <c r="AB44" s="360"/>
      <c r="AC44" s="360"/>
      <c r="AD44" s="360"/>
      <c r="AE44" s="360"/>
      <c r="AF44" s="361"/>
    </row>
    <row r="45" spans="1:34" ht="15.75" customHeight="1" x14ac:dyDescent="0.15">
      <c r="C45" s="138">
        <v>1</v>
      </c>
      <c r="D45" s="375"/>
      <c r="E45" s="376"/>
      <c r="F45" s="376"/>
      <c r="G45" s="376"/>
      <c r="H45" s="376"/>
      <c r="I45" s="376"/>
      <c r="J45" s="377"/>
      <c r="K45" s="375"/>
      <c r="L45" s="376"/>
      <c r="M45" s="376"/>
      <c r="N45" s="376"/>
      <c r="O45" s="376"/>
      <c r="P45" s="376"/>
      <c r="Q45" s="377"/>
      <c r="R45" s="132">
        <v>3</v>
      </c>
      <c r="S45" s="375"/>
      <c r="T45" s="376"/>
      <c r="U45" s="376"/>
      <c r="V45" s="376"/>
      <c r="W45" s="376"/>
      <c r="X45" s="376"/>
      <c r="Y45" s="377"/>
      <c r="Z45" s="375"/>
      <c r="AA45" s="376"/>
      <c r="AB45" s="376"/>
      <c r="AC45" s="376"/>
      <c r="AD45" s="376"/>
      <c r="AE45" s="376"/>
      <c r="AF45" s="384"/>
    </row>
    <row r="46" spans="1:34" ht="15.75" customHeight="1" thickBot="1" x14ac:dyDescent="0.2">
      <c r="C46" s="139">
        <v>2</v>
      </c>
      <c r="D46" s="372"/>
      <c r="E46" s="373"/>
      <c r="F46" s="373"/>
      <c r="G46" s="373"/>
      <c r="H46" s="373"/>
      <c r="I46" s="373"/>
      <c r="J46" s="374"/>
      <c r="K46" s="372"/>
      <c r="L46" s="373"/>
      <c r="M46" s="373"/>
      <c r="N46" s="373"/>
      <c r="O46" s="373"/>
      <c r="P46" s="373"/>
      <c r="Q46" s="374"/>
      <c r="R46" s="140">
        <v>4</v>
      </c>
      <c r="S46" s="372"/>
      <c r="T46" s="373"/>
      <c r="U46" s="373"/>
      <c r="V46" s="373"/>
      <c r="W46" s="373"/>
      <c r="X46" s="373"/>
      <c r="Y46" s="374"/>
      <c r="Z46" s="372"/>
      <c r="AA46" s="373"/>
      <c r="AB46" s="373"/>
      <c r="AC46" s="373"/>
      <c r="AD46" s="373"/>
      <c r="AE46" s="373"/>
      <c r="AF46" s="383"/>
    </row>
    <row r="47" spans="1:34" ht="14.25" thickBot="1" x14ac:dyDescent="0.2">
      <c r="A47" s="378" t="s">
        <v>401</v>
      </c>
      <c r="B47" s="363"/>
      <c r="C47" s="363"/>
      <c r="D47" s="363"/>
      <c r="E47" s="363"/>
      <c r="F47" s="363"/>
      <c r="G47" s="363"/>
      <c r="H47" s="363"/>
      <c r="I47" s="363"/>
      <c r="J47" s="363"/>
      <c r="K47" s="363"/>
      <c r="L47" s="363"/>
      <c r="M47" s="363"/>
      <c r="N47" s="363"/>
      <c r="O47" s="363"/>
      <c r="P47" s="363"/>
      <c r="Q47" s="363"/>
      <c r="R47" s="363"/>
      <c r="S47" s="363"/>
      <c r="T47" s="363"/>
      <c r="U47" s="363"/>
      <c r="V47" s="363"/>
      <c r="W47" s="363"/>
      <c r="X47" s="363"/>
      <c r="Y47" s="363"/>
      <c r="Z47" s="363"/>
      <c r="AA47" s="363"/>
      <c r="AB47" s="363"/>
      <c r="AC47" s="363"/>
      <c r="AD47" s="363"/>
      <c r="AE47" s="363"/>
      <c r="AF47" s="363"/>
      <c r="AG47" s="363"/>
      <c r="AH47" s="363"/>
    </row>
    <row r="48" spans="1:34" ht="17.25" customHeight="1" x14ac:dyDescent="0.15">
      <c r="C48" s="141" t="s">
        <v>365</v>
      </c>
      <c r="D48" s="379" t="s">
        <v>402</v>
      </c>
      <c r="E48" s="379"/>
      <c r="F48" s="379"/>
      <c r="G48" s="379"/>
      <c r="H48" s="379"/>
      <c r="I48" s="379"/>
      <c r="J48" s="133" t="s">
        <v>365</v>
      </c>
      <c r="K48" s="379" t="s">
        <v>404</v>
      </c>
      <c r="L48" s="379"/>
      <c r="M48" s="379"/>
      <c r="N48" s="379"/>
      <c r="O48" s="379"/>
      <c r="P48" s="379"/>
      <c r="Q48" s="379"/>
      <c r="R48" s="379"/>
      <c r="S48" s="133" t="s">
        <v>365</v>
      </c>
      <c r="T48" s="379" t="s">
        <v>406</v>
      </c>
      <c r="U48" s="379"/>
      <c r="V48" s="379"/>
      <c r="W48" s="379"/>
      <c r="X48" s="379"/>
      <c r="Y48" s="379"/>
      <c r="Z48" s="133" t="s">
        <v>365</v>
      </c>
      <c r="AA48" s="379" t="s">
        <v>408</v>
      </c>
      <c r="AB48" s="379"/>
      <c r="AC48" s="379"/>
      <c r="AD48" s="379"/>
      <c r="AE48" s="379"/>
      <c r="AF48" s="381"/>
    </row>
    <row r="49" spans="1:34" ht="17.25" customHeight="1" thickBot="1" x14ac:dyDescent="0.2">
      <c r="C49" s="142" t="s">
        <v>365</v>
      </c>
      <c r="D49" s="380" t="s">
        <v>403</v>
      </c>
      <c r="E49" s="380"/>
      <c r="F49" s="380"/>
      <c r="G49" s="380"/>
      <c r="H49" s="380"/>
      <c r="I49" s="380"/>
      <c r="J49" s="143" t="s">
        <v>365</v>
      </c>
      <c r="K49" s="380" t="s">
        <v>405</v>
      </c>
      <c r="L49" s="380"/>
      <c r="M49" s="380"/>
      <c r="N49" s="380"/>
      <c r="O49" s="380"/>
      <c r="P49" s="380"/>
      <c r="Q49" s="380"/>
      <c r="R49" s="380"/>
      <c r="S49" s="143" t="s">
        <v>365</v>
      </c>
      <c r="T49" s="380" t="s">
        <v>407</v>
      </c>
      <c r="U49" s="380"/>
      <c r="V49" s="380"/>
      <c r="W49" s="380"/>
      <c r="X49" s="380"/>
      <c r="Y49" s="380"/>
      <c r="Z49" s="143" t="s">
        <v>365</v>
      </c>
      <c r="AA49" s="380" t="s">
        <v>409</v>
      </c>
      <c r="AB49" s="380"/>
      <c r="AC49" s="380"/>
      <c r="AD49" s="380"/>
      <c r="AE49" s="380"/>
      <c r="AF49" s="382"/>
    </row>
    <row r="50" spans="1:34" ht="3.75" customHeight="1" thickBot="1" x14ac:dyDescent="0.2"/>
    <row r="51" spans="1:34" ht="14.25" thickTop="1" x14ac:dyDescent="0.15">
      <c r="A51" s="387" t="s">
        <v>412</v>
      </c>
      <c r="B51" s="387"/>
      <c r="C51" s="387"/>
      <c r="D51" s="387"/>
      <c r="E51" s="387"/>
      <c r="F51" s="387"/>
      <c r="G51" s="387"/>
      <c r="H51" s="387"/>
      <c r="I51" s="387"/>
      <c r="J51" s="387"/>
      <c r="K51" s="387"/>
      <c r="L51" s="387"/>
      <c r="M51" s="387"/>
      <c r="N51" s="387"/>
      <c r="O51" s="387"/>
      <c r="P51" s="387"/>
      <c r="Q51" s="387" t="s">
        <v>410</v>
      </c>
      <c r="R51" s="387"/>
      <c r="S51" s="387"/>
      <c r="T51" s="387"/>
      <c r="U51" s="387"/>
      <c r="V51" s="387"/>
      <c r="W51" s="387"/>
      <c r="X51" s="387"/>
      <c r="Y51" s="387"/>
      <c r="Z51" s="387"/>
      <c r="AA51" s="387"/>
      <c r="AB51" s="387"/>
      <c r="AC51" s="387"/>
      <c r="AD51" s="387"/>
      <c r="AE51" s="387"/>
      <c r="AF51" s="387"/>
      <c r="AG51" s="387"/>
      <c r="AH51" s="387"/>
    </row>
    <row r="52" spans="1:34" x14ac:dyDescent="0.15">
      <c r="A52" s="385" t="s">
        <v>411</v>
      </c>
      <c r="B52" s="385"/>
      <c r="C52" s="385"/>
      <c r="D52" s="385"/>
      <c r="E52" s="385"/>
      <c r="F52" s="385"/>
      <c r="G52" s="385"/>
      <c r="H52" s="385"/>
      <c r="I52" s="385"/>
      <c r="J52" s="385"/>
      <c r="K52" s="385"/>
      <c r="L52" s="385"/>
      <c r="M52" s="385"/>
      <c r="N52" s="385"/>
      <c r="O52" s="385"/>
      <c r="P52" s="385"/>
      <c r="Q52" s="386" t="s">
        <v>413</v>
      </c>
      <c r="R52" s="386"/>
      <c r="S52" s="386"/>
      <c r="T52" s="386"/>
      <c r="U52" s="386"/>
      <c r="V52" s="386"/>
      <c r="W52" s="386"/>
      <c r="X52" s="386"/>
      <c r="Y52" s="386"/>
      <c r="Z52" s="386"/>
      <c r="AA52" s="386"/>
      <c r="AB52" s="386"/>
      <c r="AC52" s="386"/>
      <c r="AD52" s="386"/>
      <c r="AE52" s="386"/>
      <c r="AF52" s="386"/>
      <c r="AG52" s="386"/>
      <c r="AH52" s="386"/>
    </row>
    <row r="53" spans="1:34" x14ac:dyDescent="0.15">
      <c r="A53" s="371" t="s">
        <v>414</v>
      </c>
      <c r="B53" s="371"/>
      <c r="C53" s="371"/>
      <c r="D53" s="371"/>
      <c r="E53" s="371"/>
      <c r="F53" s="371"/>
      <c r="G53" s="371"/>
      <c r="H53" s="371"/>
      <c r="I53" s="371"/>
      <c r="J53" s="371"/>
      <c r="K53" s="371"/>
      <c r="L53" s="371"/>
      <c r="M53" s="371"/>
      <c r="N53" s="371"/>
      <c r="O53" s="371"/>
      <c r="P53" s="371"/>
      <c r="Q53" s="371"/>
      <c r="R53" s="371"/>
      <c r="S53" s="371"/>
      <c r="T53" s="371"/>
      <c r="U53" s="371"/>
      <c r="V53" s="371"/>
      <c r="W53" s="371"/>
      <c r="X53" s="371"/>
      <c r="Y53" s="371"/>
      <c r="Z53" s="371"/>
      <c r="AA53" s="371"/>
      <c r="AB53" s="371"/>
      <c r="AC53" s="371"/>
      <c r="AD53" s="371"/>
      <c r="AE53" s="371"/>
      <c r="AF53" s="371"/>
      <c r="AG53" s="371"/>
      <c r="AH53" s="371"/>
    </row>
    <row r="54" spans="1:34" ht="21" customHeight="1" x14ac:dyDescent="0.15"/>
    <row r="55" spans="1:34" ht="21" customHeight="1" x14ac:dyDescent="0.15"/>
    <row r="56" spans="1:34" ht="21" customHeight="1" x14ac:dyDescent="0.15"/>
    <row r="57" spans="1:34" ht="21" customHeight="1" x14ac:dyDescent="0.15"/>
    <row r="58" spans="1:34" ht="21" customHeight="1" x14ac:dyDescent="0.15"/>
    <row r="59" spans="1:34" ht="21" customHeight="1" x14ac:dyDescent="0.15"/>
    <row r="60" spans="1:34" ht="21" customHeight="1" x14ac:dyDescent="0.15"/>
    <row r="61" spans="1:34" ht="21" customHeight="1" x14ac:dyDescent="0.15"/>
    <row r="62" spans="1:34" ht="21" customHeight="1" x14ac:dyDescent="0.15"/>
    <row r="63" spans="1:34" ht="21" customHeight="1" x14ac:dyDescent="0.15"/>
    <row r="64" spans="1:3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sheetData>
  <sheetProtection formatCells="0" formatColumns="0" formatRows="0"/>
  <protectedRanges>
    <protectedRange sqref="C27:C30" name="الصفحة الأولى_1"/>
    <protectedRange sqref="AC1 AC3 S7 P10:AA10 L12 Y17 X18:AH19 W20 Y21 U25:AG25 C26 T35 AF35:AH36 W38 AA39 V40 D45:Q46 S45:AF46 X42 W33 AB34 D15 X15 AE15 K29:V29 Y29 A30" name="الصفحة الأولى"/>
  </protectedRanges>
  <mergeCells count="123">
    <mergeCell ref="AB15:AD15"/>
    <mergeCell ref="X15:AA15"/>
    <mergeCell ref="AF26:AH26"/>
    <mergeCell ref="C26:AE26"/>
    <mergeCell ref="A26:B26"/>
    <mergeCell ref="AE22:AH23"/>
    <mergeCell ref="AD22:AD23"/>
    <mergeCell ref="Z22:AC23"/>
    <mergeCell ref="Y22:Y23"/>
    <mergeCell ref="V22:X23"/>
    <mergeCell ref="A24:AH24"/>
    <mergeCell ref="A25:S25"/>
    <mergeCell ref="J23:O23"/>
    <mergeCell ref="J22:O22"/>
    <mergeCell ref="A21:F23"/>
    <mergeCell ref="U21:X21"/>
    <mergeCell ref="R34:AA34"/>
    <mergeCell ref="R33:V33"/>
    <mergeCell ref="R35:S35"/>
    <mergeCell ref="A32:N32"/>
    <mergeCell ref="V35:Z35"/>
    <mergeCell ref="R39:Z39"/>
    <mergeCell ref="H10:O10"/>
    <mergeCell ref="L12:AA12"/>
    <mergeCell ref="U17:X17"/>
    <mergeCell ref="U18:W18"/>
    <mergeCell ref="Q22:T23"/>
    <mergeCell ref="U22:U23"/>
    <mergeCell ref="J21:O21"/>
    <mergeCell ref="Q17:T18"/>
    <mergeCell ref="AA35:AE35"/>
    <mergeCell ref="A33:L33"/>
    <mergeCell ref="A34:L34"/>
    <mergeCell ref="A35:L35"/>
    <mergeCell ref="AB34:AH34"/>
    <mergeCell ref="Y17:AH17"/>
    <mergeCell ref="U20:V20"/>
    <mergeCell ref="U19:W19"/>
    <mergeCell ref="Q19:T21"/>
    <mergeCell ref="A15:C15"/>
    <mergeCell ref="A31:AH31"/>
    <mergeCell ref="W33:AH33"/>
    <mergeCell ref="R32:AH32"/>
    <mergeCell ref="J27:N27"/>
    <mergeCell ref="P27:T27"/>
    <mergeCell ref="V27:Z27"/>
    <mergeCell ref="A29:J29"/>
    <mergeCell ref="W29:X29"/>
    <mergeCell ref="Y29:AH29"/>
    <mergeCell ref="A30:AH30"/>
    <mergeCell ref="AC27:AH27"/>
    <mergeCell ref="A27:H27"/>
    <mergeCell ref="A36:L37"/>
    <mergeCell ref="P36:P37"/>
    <mergeCell ref="O36:O37"/>
    <mergeCell ref="N36:N37"/>
    <mergeCell ref="M36:M37"/>
    <mergeCell ref="R36:AE36"/>
    <mergeCell ref="R37:AH37"/>
    <mergeCell ref="T35:U35"/>
    <mergeCell ref="AF35:AH35"/>
    <mergeCell ref="AF36:AH36"/>
    <mergeCell ref="A53:AH53"/>
    <mergeCell ref="D46:J46"/>
    <mergeCell ref="D45:J45"/>
    <mergeCell ref="A47:AH47"/>
    <mergeCell ref="D48:I48"/>
    <mergeCell ref="D49:I49"/>
    <mergeCell ref="T48:Y48"/>
    <mergeCell ref="T49:Y49"/>
    <mergeCell ref="AA48:AF48"/>
    <mergeCell ref="AA49:AF49"/>
    <mergeCell ref="K49:R49"/>
    <mergeCell ref="K48:R48"/>
    <mergeCell ref="Z46:AF46"/>
    <mergeCell ref="Z45:AF45"/>
    <mergeCell ref="A52:P52"/>
    <mergeCell ref="Q52:AH52"/>
    <mergeCell ref="Q51:AH51"/>
    <mergeCell ref="A51:P51"/>
    <mergeCell ref="S46:Y46"/>
    <mergeCell ref="S45:Y45"/>
    <mergeCell ref="K46:Q46"/>
    <mergeCell ref="K45:Q45"/>
    <mergeCell ref="Z44:AF44"/>
    <mergeCell ref="S44:Y44"/>
    <mergeCell ref="K44:Q44"/>
    <mergeCell ref="R42:W42"/>
    <mergeCell ref="X42:Y42"/>
    <mergeCell ref="D44:J44"/>
    <mergeCell ref="R38:V38"/>
    <mergeCell ref="R40:U40"/>
    <mergeCell ref="V40:AH40"/>
    <mergeCell ref="W38:AH38"/>
    <mergeCell ref="AA39:AH39"/>
    <mergeCell ref="A40:L40"/>
    <mergeCell ref="A42:L42"/>
    <mergeCell ref="A38:L38"/>
    <mergeCell ref="A39:L39"/>
    <mergeCell ref="AC1:AH2"/>
    <mergeCell ref="AC3:AH4"/>
    <mergeCell ref="W20:AH20"/>
    <mergeCell ref="X19:AH19"/>
    <mergeCell ref="Y21:AH21"/>
    <mergeCell ref="X18:AB18"/>
    <mergeCell ref="AF18:AH18"/>
    <mergeCell ref="H12:K13"/>
    <mergeCell ref="L13:AA13"/>
    <mergeCell ref="A17:O18"/>
    <mergeCell ref="W2:AB3"/>
    <mergeCell ref="A1:I2"/>
    <mergeCell ref="A3:I4"/>
    <mergeCell ref="A5:I6"/>
    <mergeCell ref="W4:AA5"/>
    <mergeCell ref="AC18:AE18"/>
    <mergeCell ref="R15:W15"/>
    <mergeCell ref="D15:Q15"/>
    <mergeCell ref="S7:V7"/>
    <mergeCell ref="A7:R8"/>
    <mergeCell ref="A9:AH9"/>
    <mergeCell ref="A19:F20"/>
    <mergeCell ref="G19:O20"/>
    <mergeCell ref="AE15:AH15"/>
  </mergeCells>
  <printOptions horizontalCentered="1"/>
  <pageMargins left="0" right="0" top="0" bottom="0" header="0" footer="0"/>
  <pageSetup paperSize="9" scale="96"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F182"/>
  <sheetViews>
    <sheetView rightToLeft="1" workbookViewId="0">
      <selection activeCell="D7" sqref="D7"/>
    </sheetView>
  </sheetViews>
  <sheetFormatPr defaultColWidth="8.94921875" defaultRowHeight="13.5" x14ac:dyDescent="0.15"/>
  <cols>
    <col min="1" max="1" width="5.515625" style="1" customWidth="1"/>
    <col min="2" max="2" width="22.5546875" style="81" customWidth="1"/>
    <col min="3" max="3" width="5.1484375" style="1" customWidth="1"/>
    <col min="4" max="4" width="28.68359375" style="280" customWidth="1"/>
    <col min="5" max="5" width="30.76953125" style="1" customWidth="1"/>
    <col min="6" max="6" width="6.00390625" style="1" customWidth="1"/>
    <col min="7" max="16384" width="8.94921875" style="1"/>
  </cols>
  <sheetData>
    <row r="1" spans="1:5" ht="18.75" thickBot="1" x14ac:dyDescent="0.2">
      <c r="A1" s="610" t="s">
        <v>566</v>
      </c>
      <c r="B1" s="610"/>
      <c r="C1" s="610"/>
      <c r="D1" s="610"/>
      <c r="E1" s="610"/>
    </row>
    <row r="2" spans="1:5" ht="21" customHeight="1" x14ac:dyDescent="0.15">
      <c r="A2" s="605" t="s">
        <v>1</v>
      </c>
      <c r="B2" s="586" t="s">
        <v>2</v>
      </c>
      <c r="C2" s="588" t="s">
        <v>3</v>
      </c>
      <c r="D2" s="601" t="s">
        <v>4</v>
      </c>
      <c r="E2" s="601"/>
    </row>
    <row r="3" spans="1:5" ht="21" customHeight="1" x14ac:dyDescent="0.15">
      <c r="A3" s="606"/>
      <c r="B3" s="587"/>
      <c r="C3" s="589"/>
      <c r="D3" s="250" t="s">
        <v>70</v>
      </c>
      <c r="E3" s="63" t="s">
        <v>71</v>
      </c>
    </row>
    <row r="4" spans="1:5" s="229" customFormat="1" ht="21" customHeight="1" x14ac:dyDescent="0.15">
      <c r="A4" s="226">
        <v>11</v>
      </c>
      <c r="B4" s="224" t="s">
        <v>559</v>
      </c>
      <c r="C4" s="227"/>
      <c r="D4" s="281"/>
      <c r="E4" s="228"/>
    </row>
    <row r="5" spans="1:5" ht="21" customHeight="1" x14ac:dyDescent="0.15">
      <c r="A5" s="225">
        <v>111</v>
      </c>
      <c r="B5" s="230" t="s">
        <v>72</v>
      </c>
      <c r="C5" s="64"/>
      <c r="D5" s="265"/>
      <c r="E5" s="64"/>
    </row>
    <row r="6" spans="1:5" ht="21" customHeight="1" x14ac:dyDescent="0.15">
      <c r="A6" s="55">
        <v>1111</v>
      </c>
      <c r="B6" s="75" t="s">
        <v>73</v>
      </c>
      <c r="C6" s="5"/>
      <c r="D6" s="235"/>
      <c r="E6" s="73"/>
    </row>
    <row r="7" spans="1:5" ht="21" customHeight="1" x14ac:dyDescent="0.15">
      <c r="A7" s="55">
        <v>1112</v>
      </c>
      <c r="B7" s="76" t="s">
        <v>74</v>
      </c>
      <c r="C7" s="5"/>
      <c r="D7" s="235"/>
      <c r="E7" s="73"/>
    </row>
    <row r="8" spans="1:5" ht="21" customHeight="1" x14ac:dyDescent="0.15">
      <c r="A8" s="55">
        <v>1113</v>
      </c>
      <c r="B8" s="75" t="s">
        <v>75</v>
      </c>
      <c r="C8" s="5"/>
      <c r="D8" s="235"/>
      <c r="E8" s="73"/>
    </row>
    <row r="9" spans="1:5" ht="21" customHeight="1" x14ac:dyDescent="0.15">
      <c r="A9" s="55">
        <v>1114</v>
      </c>
      <c r="B9" s="76" t="s">
        <v>76</v>
      </c>
      <c r="C9" s="5"/>
      <c r="D9" s="235"/>
      <c r="E9" s="73"/>
    </row>
    <row r="10" spans="1:5" ht="21" customHeight="1" x14ac:dyDescent="0.15">
      <c r="A10" s="55">
        <v>1115</v>
      </c>
      <c r="B10" s="75" t="s">
        <v>77</v>
      </c>
      <c r="C10" s="5"/>
      <c r="D10" s="235"/>
      <c r="E10" s="73"/>
    </row>
    <row r="11" spans="1:5" ht="21" customHeight="1" x14ac:dyDescent="0.15">
      <c r="A11" s="55">
        <v>1116</v>
      </c>
      <c r="B11" s="77" t="s">
        <v>78</v>
      </c>
      <c r="C11" s="5"/>
      <c r="D11" s="235"/>
      <c r="E11" s="73"/>
    </row>
    <row r="12" spans="1:5" ht="21" customHeight="1" x14ac:dyDescent="0.15">
      <c r="A12" s="55">
        <v>1117</v>
      </c>
      <c r="B12" s="77" t="s">
        <v>79</v>
      </c>
      <c r="C12" s="5"/>
      <c r="D12" s="235"/>
      <c r="E12" s="73"/>
    </row>
    <row r="13" spans="1:5" ht="21" customHeight="1" x14ac:dyDescent="0.15">
      <c r="A13" s="55">
        <v>1118</v>
      </c>
      <c r="B13" s="77" t="s">
        <v>80</v>
      </c>
      <c r="C13" s="5"/>
      <c r="D13" s="235"/>
      <c r="E13" s="73"/>
    </row>
    <row r="14" spans="1:5" ht="21" customHeight="1" x14ac:dyDescent="0.15">
      <c r="A14" s="55">
        <v>1119</v>
      </c>
      <c r="B14" s="32" t="s">
        <v>560</v>
      </c>
      <c r="C14" s="5"/>
      <c r="D14" s="235"/>
      <c r="E14" s="73"/>
    </row>
    <row r="15" spans="1:5" ht="21" customHeight="1" x14ac:dyDescent="0.15">
      <c r="A15" s="225">
        <v>112</v>
      </c>
      <c r="B15" s="230" t="s">
        <v>81</v>
      </c>
      <c r="C15" s="64"/>
      <c r="D15" s="265"/>
      <c r="E15" s="64"/>
    </row>
    <row r="16" spans="1:5" ht="21" customHeight="1" x14ac:dyDescent="0.15">
      <c r="A16" s="55">
        <v>1121</v>
      </c>
      <c r="B16" s="75" t="s">
        <v>82</v>
      </c>
      <c r="C16" s="66"/>
      <c r="D16" s="269"/>
      <c r="E16" s="69"/>
    </row>
    <row r="17" spans="1:6" ht="21" customHeight="1" x14ac:dyDescent="0.15">
      <c r="A17" s="55">
        <v>1122</v>
      </c>
      <c r="B17" s="75" t="s">
        <v>83</v>
      </c>
      <c r="C17" s="93"/>
      <c r="D17" s="270"/>
      <c r="E17" s="94"/>
    </row>
    <row r="18" spans="1:6" ht="21" customHeight="1" x14ac:dyDescent="0.15">
      <c r="A18" s="55">
        <v>1123</v>
      </c>
      <c r="B18" s="76" t="s">
        <v>84</v>
      </c>
      <c r="C18" s="66"/>
      <c r="D18" s="269"/>
      <c r="E18" s="69"/>
    </row>
    <row r="19" spans="1:6" ht="21" customHeight="1" x14ac:dyDescent="0.15">
      <c r="A19" s="55">
        <v>1124</v>
      </c>
      <c r="B19" s="76" t="s">
        <v>85</v>
      </c>
      <c r="C19" s="66"/>
      <c r="D19" s="269"/>
      <c r="E19" s="69"/>
    </row>
    <row r="20" spans="1:6" ht="21" customHeight="1" x14ac:dyDescent="0.15">
      <c r="A20" s="55">
        <v>1125</v>
      </c>
      <c r="B20" s="76" t="s">
        <v>86</v>
      </c>
      <c r="C20" s="93"/>
      <c r="D20" s="270"/>
      <c r="E20" s="94"/>
    </row>
    <row r="21" spans="1:6" ht="21" customHeight="1" x14ac:dyDescent="0.15">
      <c r="A21" s="55">
        <v>1126</v>
      </c>
      <c r="B21" s="180"/>
      <c r="C21" s="93"/>
      <c r="D21" s="270"/>
      <c r="E21" s="94"/>
    </row>
    <row r="22" spans="1:6" ht="21" customHeight="1" x14ac:dyDescent="0.15">
      <c r="A22" s="55">
        <v>1127</v>
      </c>
      <c r="B22" s="180"/>
      <c r="C22" s="66"/>
      <c r="D22" s="269"/>
      <c r="E22" s="69"/>
    </row>
    <row r="23" spans="1:6" ht="21" customHeight="1" x14ac:dyDescent="0.15">
      <c r="A23" s="55">
        <v>1128</v>
      </c>
      <c r="B23" s="180"/>
      <c r="C23" s="93"/>
      <c r="D23" s="270"/>
      <c r="E23" s="94"/>
    </row>
    <row r="24" spans="1:6" ht="21" customHeight="1" x14ac:dyDescent="0.15">
      <c r="A24" s="225">
        <v>217</v>
      </c>
      <c r="B24" s="230" t="s">
        <v>87</v>
      </c>
      <c r="C24" s="64"/>
      <c r="D24" s="265"/>
      <c r="E24" s="64"/>
      <c r="F24" s="288"/>
    </row>
    <row r="25" spans="1:6" ht="21" customHeight="1" x14ac:dyDescent="0.15">
      <c r="A25" s="55">
        <v>2171</v>
      </c>
      <c r="B25" s="79" t="s">
        <v>88</v>
      </c>
      <c r="C25" s="66"/>
      <c r="D25" s="269"/>
      <c r="E25" s="69"/>
    </row>
    <row r="26" spans="1:6" ht="21" customHeight="1" x14ac:dyDescent="0.15">
      <c r="A26" s="55">
        <v>2172</v>
      </c>
      <c r="B26" s="79" t="s">
        <v>89</v>
      </c>
      <c r="C26" s="66"/>
      <c r="D26" s="269"/>
      <c r="E26" s="69"/>
    </row>
    <row r="27" spans="1:6" ht="21" customHeight="1" x14ac:dyDescent="0.15">
      <c r="A27" s="55">
        <v>2173</v>
      </c>
      <c r="B27" s="75" t="s">
        <v>90</v>
      </c>
      <c r="C27" s="66"/>
      <c r="D27" s="269"/>
      <c r="E27" s="69"/>
    </row>
    <row r="28" spans="1:6" ht="21" customHeight="1" x14ac:dyDescent="0.15">
      <c r="A28" s="55">
        <v>2174</v>
      </c>
      <c r="B28" s="75" t="s">
        <v>91</v>
      </c>
      <c r="C28" s="66"/>
      <c r="D28" s="269"/>
      <c r="E28" s="69"/>
    </row>
    <row r="29" spans="1:6" ht="21" customHeight="1" x14ac:dyDescent="0.15">
      <c r="A29" s="55">
        <v>2175</v>
      </c>
      <c r="B29" s="75" t="s">
        <v>92</v>
      </c>
      <c r="C29" s="67"/>
      <c r="D29" s="269"/>
      <c r="E29" s="67"/>
    </row>
    <row r="30" spans="1:6" ht="21" customHeight="1" x14ac:dyDescent="0.15">
      <c r="A30" s="55">
        <v>2176</v>
      </c>
      <c r="B30" s="75" t="s">
        <v>93</v>
      </c>
      <c r="C30" s="66"/>
      <c r="D30" s="269"/>
      <c r="E30" s="69"/>
    </row>
    <row r="31" spans="1:6" ht="21" customHeight="1" x14ac:dyDescent="0.15">
      <c r="A31" s="55">
        <v>2177</v>
      </c>
      <c r="B31" s="75" t="s">
        <v>94</v>
      </c>
      <c r="C31" s="66"/>
      <c r="D31" s="269"/>
      <c r="E31" s="69"/>
    </row>
    <row r="32" spans="1:6" ht="21" customHeight="1" x14ac:dyDescent="0.15">
      <c r="A32" s="55">
        <v>2178</v>
      </c>
      <c r="B32" s="75" t="s">
        <v>95</v>
      </c>
      <c r="C32" s="93"/>
      <c r="D32" s="269"/>
      <c r="E32" s="94"/>
    </row>
    <row r="33" spans="1:5" ht="21" customHeight="1" x14ac:dyDescent="0.15">
      <c r="A33" s="55">
        <v>2179</v>
      </c>
      <c r="B33" s="180"/>
      <c r="C33" s="93"/>
      <c r="D33" s="270"/>
      <c r="E33" s="94"/>
    </row>
    <row r="34" spans="1:5" ht="21" customHeight="1" x14ac:dyDescent="0.15">
      <c r="A34" s="225">
        <v>221</v>
      </c>
      <c r="B34" s="230" t="s">
        <v>96</v>
      </c>
      <c r="C34" s="64"/>
      <c r="D34" s="265"/>
      <c r="E34" s="64"/>
    </row>
    <row r="35" spans="1:5" ht="26.25" customHeight="1" x14ac:dyDescent="0.15">
      <c r="A35" s="55">
        <v>2211</v>
      </c>
      <c r="B35" s="75" t="s">
        <v>97</v>
      </c>
      <c r="C35" s="93"/>
      <c r="D35" s="270"/>
      <c r="E35" s="94"/>
    </row>
    <row r="36" spans="1:5" ht="26.25" customHeight="1" thickBot="1" x14ac:dyDescent="0.2">
      <c r="A36" s="57">
        <v>2212</v>
      </c>
      <c r="B36" s="19" t="s">
        <v>98</v>
      </c>
      <c r="C36" s="181"/>
      <c r="D36" s="271"/>
      <c r="E36" s="123"/>
    </row>
    <row r="37" spans="1:5" s="167" customFormat="1" ht="26.25" customHeight="1" x14ac:dyDescent="0.15">
      <c r="A37" s="608" t="s">
        <v>543</v>
      </c>
      <c r="B37" s="608"/>
      <c r="C37" s="608"/>
      <c r="D37" s="608"/>
      <c r="E37" s="608"/>
    </row>
    <row r="38" spans="1:5" customFormat="1" ht="32.25" customHeight="1" x14ac:dyDescent="0.15">
      <c r="A38" s="565" t="s">
        <v>188</v>
      </c>
      <c r="B38" s="565"/>
      <c r="C38" s="565"/>
      <c r="D38" s="565"/>
      <c r="E38" s="565"/>
    </row>
    <row r="39" spans="1:5" ht="18.75" thickBot="1" x14ac:dyDescent="0.2">
      <c r="A39" s="604" t="s">
        <v>99</v>
      </c>
      <c r="B39" s="604"/>
      <c r="C39" s="604"/>
      <c r="D39" s="604"/>
      <c r="E39" s="604"/>
    </row>
    <row r="40" spans="1:5" ht="21" customHeight="1" x14ac:dyDescent="0.15">
      <c r="A40" s="605" t="s">
        <v>1</v>
      </c>
      <c r="B40" s="586" t="s">
        <v>2</v>
      </c>
      <c r="C40" s="588" t="s">
        <v>3</v>
      </c>
      <c r="D40" s="601" t="s">
        <v>4</v>
      </c>
      <c r="E40" s="601"/>
    </row>
    <row r="41" spans="1:5" ht="21" customHeight="1" x14ac:dyDescent="0.15">
      <c r="A41" s="606"/>
      <c r="B41" s="587"/>
      <c r="C41" s="589"/>
      <c r="D41" s="250" t="s">
        <v>70</v>
      </c>
      <c r="E41" s="63" t="s">
        <v>71</v>
      </c>
    </row>
    <row r="42" spans="1:5" ht="21" customHeight="1" x14ac:dyDescent="0.15">
      <c r="A42" s="54">
        <v>12</v>
      </c>
      <c r="B42" s="80" t="s">
        <v>100</v>
      </c>
      <c r="C42" s="68"/>
      <c r="D42" s="272"/>
      <c r="E42" s="69"/>
    </row>
    <row r="43" spans="1:5" ht="21" customHeight="1" x14ac:dyDescent="0.15">
      <c r="A43" s="55">
        <v>121</v>
      </c>
      <c r="B43" s="75" t="s">
        <v>101</v>
      </c>
      <c r="C43" s="66"/>
      <c r="D43" s="269"/>
      <c r="E43" s="69"/>
    </row>
    <row r="44" spans="1:5" ht="21" customHeight="1" x14ac:dyDescent="0.15">
      <c r="A44" s="55">
        <v>122</v>
      </c>
      <c r="B44" s="75" t="s">
        <v>102</v>
      </c>
      <c r="C44" s="66"/>
      <c r="D44" s="269"/>
      <c r="E44" s="69"/>
    </row>
    <row r="45" spans="1:5" ht="26.25" customHeight="1" x14ac:dyDescent="0.15">
      <c r="A45" s="55">
        <v>123</v>
      </c>
      <c r="B45" s="75" t="s">
        <v>103</v>
      </c>
      <c r="C45" s="93"/>
      <c r="D45" s="270"/>
      <c r="E45" s="94"/>
    </row>
    <row r="46" spans="1:5" ht="21" customHeight="1" x14ac:dyDescent="0.15">
      <c r="A46" s="55">
        <v>124</v>
      </c>
      <c r="B46" s="180"/>
      <c r="C46" s="93"/>
      <c r="D46" s="270"/>
      <c r="E46" s="94"/>
    </row>
    <row r="47" spans="1:5" ht="21" customHeight="1" x14ac:dyDescent="0.15">
      <c r="A47" s="58">
        <v>125</v>
      </c>
      <c r="B47" s="180"/>
      <c r="C47" s="94"/>
      <c r="D47" s="270"/>
      <c r="E47" s="94"/>
    </row>
    <row r="48" spans="1:5" ht="21" customHeight="1" x14ac:dyDescent="0.15">
      <c r="A48" s="59">
        <v>126</v>
      </c>
      <c r="B48" s="180"/>
      <c r="C48" s="64"/>
      <c r="D48" s="251"/>
      <c r="E48" s="64"/>
    </row>
    <row r="49" spans="1:5" ht="21" customHeight="1" x14ac:dyDescent="0.15">
      <c r="A49" s="54">
        <v>13</v>
      </c>
      <c r="B49" s="80" t="s">
        <v>104</v>
      </c>
      <c r="C49" s="68"/>
      <c r="D49" s="272"/>
      <c r="E49" s="69"/>
    </row>
    <row r="50" spans="1:5" ht="21" customHeight="1" x14ac:dyDescent="0.15">
      <c r="A50" s="59">
        <v>131</v>
      </c>
      <c r="B50" s="75" t="s">
        <v>105</v>
      </c>
      <c r="C50" s="69"/>
      <c r="D50" s="269"/>
      <c r="E50" s="69"/>
    </row>
    <row r="51" spans="1:5" ht="21" customHeight="1" x14ac:dyDescent="0.15">
      <c r="A51" s="55">
        <v>132</v>
      </c>
      <c r="B51" s="75" t="s">
        <v>106</v>
      </c>
      <c r="C51" s="66"/>
      <c r="D51" s="269"/>
      <c r="E51" s="69"/>
    </row>
    <row r="52" spans="1:5" ht="21" customHeight="1" x14ac:dyDescent="0.15">
      <c r="A52" s="55">
        <v>133</v>
      </c>
      <c r="B52" s="75" t="s">
        <v>107</v>
      </c>
      <c r="C52" s="93"/>
      <c r="D52" s="270"/>
      <c r="E52" s="94"/>
    </row>
    <row r="53" spans="1:5" ht="21" customHeight="1" x14ac:dyDescent="0.15">
      <c r="A53" s="55">
        <v>134</v>
      </c>
      <c r="B53" s="75" t="s">
        <v>108</v>
      </c>
      <c r="C53" s="93"/>
      <c r="D53" s="270"/>
      <c r="E53" s="94"/>
    </row>
    <row r="54" spans="1:5" ht="21" customHeight="1" x14ac:dyDescent="0.15">
      <c r="A54" s="55">
        <v>135</v>
      </c>
      <c r="B54" s="75" t="s">
        <v>109</v>
      </c>
      <c r="C54" s="93"/>
      <c r="D54" s="270"/>
      <c r="E54" s="94"/>
    </row>
    <row r="55" spans="1:5" ht="21" customHeight="1" x14ac:dyDescent="0.15">
      <c r="A55" s="55">
        <v>136</v>
      </c>
      <c r="B55" s="180"/>
      <c r="C55" s="64"/>
      <c r="D55" s="251"/>
      <c r="E55" s="64"/>
    </row>
    <row r="56" spans="1:5" ht="21" customHeight="1" x14ac:dyDescent="0.15">
      <c r="A56" s="55">
        <v>137</v>
      </c>
      <c r="B56" s="180"/>
      <c r="C56" s="66"/>
      <c r="D56" s="269"/>
      <c r="E56" s="69"/>
    </row>
    <row r="57" spans="1:5" ht="21" customHeight="1" x14ac:dyDescent="0.15">
      <c r="A57" s="54">
        <v>14</v>
      </c>
      <c r="B57" s="80" t="s">
        <v>110</v>
      </c>
      <c r="C57" s="70"/>
      <c r="D57" s="272"/>
      <c r="E57" s="73"/>
    </row>
    <row r="58" spans="1:5" ht="21" customHeight="1" x14ac:dyDescent="0.15">
      <c r="A58" s="55">
        <v>141</v>
      </c>
      <c r="B58" s="75" t="s">
        <v>111</v>
      </c>
      <c r="C58" s="5"/>
      <c r="D58" s="268"/>
      <c r="E58" s="73"/>
    </row>
    <row r="59" spans="1:5" ht="21" customHeight="1" x14ac:dyDescent="0.15">
      <c r="A59" s="55">
        <v>142</v>
      </c>
      <c r="B59" s="75" t="s">
        <v>112</v>
      </c>
      <c r="C59" s="5"/>
      <c r="D59" s="268"/>
      <c r="E59" s="73"/>
    </row>
    <row r="60" spans="1:5" ht="21" customHeight="1" x14ac:dyDescent="0.15">
      <c r="A60" s="55">
        <v>143</v>
      </c>
      <c r="B60" s="75" t="s">
        <v>113</v>
      </c>
      <c r="C60" s="5"/>
      <c r="D60" s="268"/>
      <c r="E60" s="73"/>
    </row>
    <row r="61" spans="1:5" ht="21" customHeight="1" x14ac:dyDescent="0.15">
      <c r="A61" s="55">
        <v>144</v>
      </c>
      <c r="B61" s="75" t="s">
        <v>114</v>
      </c>
      <c r="C61" s="5"/>
      <c r="D61" s="268"/>
      <c r="E61" s="73"/>
    </row>
    <row r="62" spans="1:5" ht="21" customHeight="1" x14ac:dyDescent="0.15">
      <c r="A62" s="55">
        <v>145</v>
      </c>
      <c r="B62" s="75" t="s">
        <v>115</v>
      </c>
      <c r="C62" s="5"/>
      <c r="D62" s="268"/>
      <c r="E62" s="73"/>
    </row>
    <row r="63" spans="1:5" ht="21" customHeight="1" x14ac:dyDescent="0.15">
      <c r="A63" s="55">
        <v>146</v>
      </c>
      <c r="B63" s="180"/>
      <c r="C63" s="5"/>
      <c r="D63" s="268"/>
      <c r="E63" s="73"/>
    </row>
    <row r="64" spans="1:5" ht="21" customHeight="1" x14ac:dyDescent="0.15">
      <c r="A64" s="55">
        <v>147</v>
      </c>
      <c r="B64" s="79"/>
      <c r="C64" s="5"/>
      <c r="D64" s="268"/>
      <c r="E64" s="73"/>
    </row>
    <row r="65" spans="1:5" ht="21" customHeight="1" x14ac:dyDescent="0.15">
      <c r="A65" s="55">
        <v>148</v>
      </c>
      <c r="B65" s="180"/>
      <c r="C65" s="64"/>
      <c r="D65" s="251"/>
      <c r="E65" s="64"/>
    </row>
    <row r="66" spans="1:5" ht="21" customHeight="1" x14ac:dyDescent="0.15">
      <c r="A66" s="55">
        <v>149</v>
      </c>
      <c r="B66" s="79"/>
      <c r="C66" s="5"/>
      <c r="D66" s="268"/>
      <c r="E66" s="73"/>
    </row>
    <row r="67" spans="1:5" ht="21" customHeight="1" x14ac:dyDescent="0.15">
      <c r="A67" s="55">
        <v>2213</v>
      </c>
      <c r="B67" s="75" t="s">
        <v>116</v>
      </c>
      <c r="C67" s="66"/>
      <c r="D67" s="273"/>
      <c r="E67" s="73"/>
    </row>
    <row r="68" spans="1:5" ht="21" customHeight="1" x14ac:dyDescent="0.15">
      <c r="A68" s="54">
        <v>15</v>
      </c>
      <c r="B68" s="80" t="s">
        <v>117</v>
      </c>
      <c r="C68" s="70"/>
      <c r="D68" s="272"/>
      <c r="E68" s="73"/>
    </row>
    <row r="69" spans="1:5" ht="21" customHeight="1" x14ac:dyDescent="0.15">
      <c r="A69" s="55">
        <v>151</v>
      </c>
      <c r="B69" s="75" t="s">
        <v>118</v>
      </c>
      <c r="C69" s="5"/>
      <c r="D69" s="268"/>
      <c r="E69" s="73"/>
    </row>
    <row r="70" spans="1:5" ht="21" customHeight="1" x14ac:dyDescent="0.15">
      <c r="A70" s="55">
        <v>2214</v>
      </c>
      <c r="B70" s="75" t="s">
        <v>119</v>
      </c>
      <c r="C70" s="5"/>
      <c r="D70" s="268"/>
      <c r="E70" s="73"/>
    </row>
    <row r="71" spans="1:5" ht="21" customHeight="1" x14ac:dyDescent="0.15">
      <c r="A71" s="55">
        <v>152</v>
      </c>
      <c r="B71" s="75" t="s">
        <v>120</v>
      </c>
      <c r="C71" s="93"/>
      <c r="D71" s="270"/>
      <c r="E71" s="94"/>
    </row>
    <row r="72" spans="1:5" ht="21" customHeight="1" thickBot="1" x14ac:dyDescent="0.2">
      <c r="A72" s="60">
        <v>2215</v>
      </c>
      <c r="B72" s="19" t="s">
        <v>121</v>
      </c>
      <c r="C72" s="21"/>
      <c r="D72" s="274"/>
      <c r="E72" s="182"/>
    </row>
    <row r="73" spans="1:5" ht="19.5" customHeight="1" x14ac:dyDescent="0.15">
      <c r="A73" s="608" t="s">
        <v>543</v>
      </c>
      <c r="B73" s="608"/>
      <c r="C73" s="608"/>
      <c r="D73" s="608"/>
      <c r="E73" s="608"/>
    </row>
    <row r="74" spans="1:5" customFormat="1" ht="32.25" customHeight="1" x14ac:dyDescent="0.15">
      <c r="A74" s="565" t="s">
        <v>189</v>
      </c>
      <c r="B74" s="565"/>
      <c r="C74" s="565"/>
      <c r="D74" s="565"/>
      <c r="E74" s="565"/>
    </row>
    <row r="75" spans="1:5" ht="18.75" thickBot="1" x14ac:dyDescent="0.2">
      <c r="A75" s="604" t="s">
        <v>99</v>
      </c>
      <c r="B75" s="604"/>
      <c r="C75" s="604"/>
      <c r="D75" s="604"/>
      <c r="E75" s="604"/>
    </row>
    <row r="76" spans="1:5" ht="21" customHeight="1" x14ac:dyDescent="0.15">
      <c r="A76" s="605" t="s">
        <v>1</v>
      </c>
      <c r="B76" s="586" t="s">
        <v>2</v>
      </c>
      <c r="C76" s="588" t="s">
        <v>3</v>
      </c>
      <c r="D76" s="601" t="s">
        <v>4</v>
      </c>
      <c r="E76" s="601"/>
    </row>
    <row r="77" spans="1:5" ht="21" customHeight="1" x14ac:dyDescent="0.15">
      <c r="A77" s="606"/>
      <c r="B77" s="587"/>
      <c r="C77" s="589"/>
      <c r="D77" s="250" t="s">
        <v>70</v>
      </c>
      <c r="E77" s="63" t="s">
        <v>71</v>
      </c>
    </row>
    <row r="78" spans="1:5" ht="21" customHeight="1" x14ac:dyDescent="0.15">
      <c r="A78" s="59">
        <v>153</v>
      </c>
      <c r="B78" s="75" t="s">
        <v>122</v>
      </c>
      <c r="C78" s="64"/>
      <c r="D78" s="251"/>
      <c r="E78" s="64"/>
    </row>
    <row r="79" spans="1:5" ht="21" customHeight="1" x14ac:dyDescent="0.15">
      <c r="A79" s="55">
        <v>154</v>
      </c>
      <c r="B79" s="75" t="s">
        <v>123</v>
      </c>
      <c r="C79" s="93"/>
      <c r="D79" s="269"/>
      <c r="E79" s="73"/>
    </row>
    <row r="80" spans="1:5" ht="21" customHeight="1" x14ac:dyDescent="0.15">
      <c r="A80" s="55">
        <v>155</v>
      </c>
      <c r="B80" s="75" t="s">
        <v>124</v>
      </c>
      <c r="C80" s="93"/>
      <c r="D80" s="269"/>
      <c r="E80" s="73"/>
    </row>
    <row r="81" spans="1:5" ht="21" customHeight="1" x14ac:dyDescent="0.15">
      <c r="A81" s="55">
        <v>156</v>
      </c>
      <c r="B81" s="75" t="s">
        <v>125</v>
      </c>
      <c r="C81" s="93"/>
      <c r="D81" s="268"/>
      <c r="E81" s="73"/>
    </row>
    <row r="82" spans="1:5" ht="21" customHeight="1" x14ac:dyDescent="0.15">
      <c r="A82" s="55">
        <v>157</v>
      </c>
      <c r="B82" s="75" t="s">
        <v>126</v>
      </c>
      <c r="C82" s="93"/>
      <c r="D82" s="268"/>
      <c r="E82" s="73"/>
    </row>
    <row r="83" spans="1:5" ht="21" customHeight="1" x14ac:dyDescent="0.15">
      <c r="A83" s="55">
        <v>158</v>
      </c>
      <c r="B83" s="75" t="s">
        <v>127</v>
      </c>
      <c r="C83" s="93"/>
      <c r="D83" s="268"/>
      <c r="E83" s="73"/>
    </row>
    <row r="84" spans="1:5" ht="21" customHeight="1" x14ac:dyDescent="0.15">
      <c r="A84" s="55">
        <v>159</v>
      </c>
      <c r="B84" s="180"/>
      <c r="C84" s="93"/>
      <c r="D84" s="268"/>
      <c r="E84" s="73"/>
    </row>
    <row r="85" spans="1:5" ht="21" customHeight="1" x14ac:dyDescent="0.15">
      <c r="A85" s="54">
        <v>16</v>
      </c>
      <c r="B85" s="80" t="s">
        <v>128</v>
      </c>
      <c r="C85" s="183"/>
      <c r="D85" s="275"/>
      <c r="E85" s="184"/>
    </row>
    <row r="86" spans="1:5" ht="26.25" customHeight="1" x14ac:dyDescent="0.15">
      <c r="A86" s="55">
        <v>161</v>
      </c>
      <c r="B86" s="75" t="s">
        <v>129</v>
      </c>
      <c r="C86" s="93"/>
      <c r="D86" s="276"/>
      <c r="E86" s="184"/>
    </row>
    <row r="87" spans="1:5" ht="21" customHeight="1" x14ac:dyDescent="0.15">
      <c r="A87" s="55">
        <v>162</v>
      </c>
      <c r="B87" s="75" t="s">
        <v>130</v>
      </c>
      <c r="C87" s="185"/>
      <c r="D87" s="276"/>
      <c r="E87" s="184"/>
    </row>
    <row r="88" spans="1:5" ht="21" customHeight="1" x14ac:dyDescent="0.15">
      <c r="A88" s="55">
        <v>163</v>
      </c>
      <c r="B88" s="75" t="s">
        <v>131</v>
      </c>
      <c r="C88" s="185"/>
      <c r="D88" s="276"/>
      <c r="E88" s="184"/>
    </row>
    <row r="89" spans="1:5" ht="21" customHeight="1" x14ac:dyDescent="0.15">
      <c r="A89" s="59">
        <v>164</v>
      </c>
      <c r="B89" s="75" t="s">
        <v>132</v>
      </c>
      <c r="C89" s="184"/>
      <c r="D89" s="276"/>
      <c r="E89" s="184"/>
    </row>
    <row r="90" spans="1:5" ht="21" customHeight="1" x14ac:dyDescent="0.15">
      <c r="A90" s="55">
        <v>165</v>
      </c>
      <c r="B90" s="180"/>
      <c r="C90" s="185"/>
      <c r="D90" s="276"/>
      <c r="E90" s="184"/>
    </row>
    <row r="91" spans="1:5" ht="21" customHeight="1" x14ac:dyDescent="0.15">
      <c r="A91" s="55">
        <v>166</v>
      </c>
      <c r="B91" s="180"/>
      <c r="C91" s="5"/>
      <c r="D91" s="268"/>
      <c r="E91" s="73"/>
    </row>
    <row r="92" spans="1:5" ht="21" customHeight="1" x14ac:dyDescent="0.15">
      <c r="A92" s="55">
        <v>167</v>
      </c>
      <c r="B92" s="180"/>
      <c r="C92" s="66"/>
      <c r="D92" s="269"/>
      <c r="E92" s="69"/>
    </row>
    <row r="93" spans="1:5" ht="21" customHeight="1" x14ac:dyDescent="0.15">
      <c r="A93" s="55">
        <v>168</v>
      </c>
      <c r="B93" s="180"/>
      <c r="C93" s="93"/>
      <c r="D93" s="270"/>
      <c r="E93" s="94"/>
    </row>
    <row r="94" spans="1:5" ht="21" customHeight="1" x14ac:dyDescent="0.15">
      <c r="A94" s="54">
        <v>17</v>
      </c>
      <c r="B94" s="80" t="s">
        <v>133</v>
      </c>
      <c r="C94" s="68"/>
      <c r="D94" s="272"/>
      <c r="E94" s="69"/>
    </row>
    <row r="95" spans="1:5" ht="21" customHeight="1" x14ac:dyDescent="0.15">
      <c r="A95" s="59">
        <v>171</v>
      </c>
      <c r="B95" s="82" t="s">
        <v>134</v>
      </c>
      <c r="C95" s="69"/>
      <c r="D95" s="269"/>
      <c r="E95" s="69"/>
    </row>
    <row r="96" spans="1:5" ht="21" customHeight="1" x14ac:dyDescent="0.15">
      <c r="A96" s="55">
        <v>172</v>
      </c>
      <c r="B96" s="82" t="s">
        <v>135</v>
      </c>
      <c r="C96" s="66"/>
      <c r="D96" s="269"/>
      <c r="E96" s="69"/>
    </row>
    <row r="97" spans="1:5" ht="21" customHeight="1" x14ac:dyDescent="0.15">
      <c r="A97" s="55">
        <v>173</v>
      </c>
      <c r="B97" s="180"/>
      <c r="C97" s="66"/>
      <c r="D97" s="269"/>
      <c r="E97" s="69"/>
    </row>
    <row r="98" spans="1:5" ht="21" customHeight="1" x14ac:dyDescent="0.15">
      <c r="A98" s="59">
        <v>174</v>
      </c>
      <c r="B98" s="180"/>
      <c r="C98" s="94"/>
      <c r="D98" s="270"/>
      <c r="E98" s="94"/>
    </row>
    <row r="99" spans="1:5" ht="21" customHeight="1" x14ac:dyDescent="0.15">
      <c r="A99" s="55">
        <v>175</v>
      </c>
      <c r="B99" s="179"/>
      <c r="C99" s="66"/>
      <c r="D99" s="269"/>
      <c r="E99" s="69"/>
    </row>
    <row r="100" spans="1:5" ht="21" customHeight="1" x14ac:dyDescent="0.15">
      <c r="A100" s="54">
        <v>18</v>
      </c>
      <c r="B100" s="80" t="s">
        <v>136</v>
      </c>
      <c r="C100" s="183"/>
      <c r="D100" s="275"/>
      <c r="E100" s="94"/>
    </row>
    <row r="101" spans="1:5" ht="21" customHeight="1" x14ac:dyDescent="0.15">
      <c r="A101" s="55">
        <v>181</v>
      </c>
      <c r="B101" s="8" t="s">
        <v>137</v>
      </c>
      <c r="C101" s="93"/>
      <c r="D101" s="270"/>
      <c r="E101" s="94"/>
    </row>
    <row r="102" spans="1:5" ht="21" customHeight="1" x14ac:dyDescent="0.15">
      <c r="A102" s="55">
        <v>182</v>
      </c>
      <c r="B102" s="8" t="s">
        <v>138</v>
      </c>
      <c r="C102" s="66"/>
      <c r="D102" s="269"/>
      <c r="E102" s="69"/>
    </row>
    <row r="103" spans="1:5" ht="21" customHeight="1" x14ac:dyDescent="0.15">
      <c r="A103" s="55">
        <v>183</v>
      </c>
      <c r="B103" s="8" t="s">
        <v>139</v>
      </c>
      <c r="C103" s="93"/>
      <c r="D103" s="270"/>
      <c r="E103" s="94"/>
    </row>
    <row r="104" spans="1:5" ht="21" customHeight="1" x14ac:dyDescent="0.15">
      <c r="A104" s="55">
        <v>184</v>
      </c>
      <c r="B104" s="8" t="s">
        <v>140</v>
      </c>
      <c r="C104" s="93"/>
      <c r="D104" s="270"/>
      <c r="E104" s="94"/>
    </row>
    <row r="105" spans="1:5" ht="21" customHeight="1" x14ac:dyDescent="0.15">
      <c r="A105" s="59">
        <v>185</v>
      </c>
      <c r="B105" s="180"/>
      <c r="C105" s="94"/>
      <c r="D105" s="270"/>
      <c r="E105" s="94"/>
    </row>
    <row r="106" spans="1:5" ht="21" customHeight="1" x14ac:dyDescent="0.15">
      <c r="A106" s="55">
        <v>186</v>
      </c>
      <c r="B106" s="179"/>
      <c r="C106" s="93"/>
      <c r="D106" s="270"/>
      <c r="E106" s="94"/>
    </row>
    <row r="107" spans="1:5" ht="21" customHeight="1" x14ac:dyDescent="0.15">
      <c r="A107" s="55">
        <v>187</v>
      </c>
      <c r="B107" s="179"/>
      <c r="C107" s="93"/>
      <c r="D107" s="270"/>
      <c r="E107" s="94"/>
    </row>
    <row r="108" spans="1:5" ht="21" customHeight="1" thickBot="1" x14ac:dyDescent="0.2">
      <c r="A108" s="60">
        <v>188</v>
      </c>
      <c r="B108" s="187"/>
      <c r="C108" s="21"/>
      <c r="D108" s="274"/>
      <c r="E108" s="182"/>
    </row>
    <row r="109" spans="1:5" ht="16.5" customHeight="1" x14ac:dyDescent="0.15">
      <c r="A109" s="607" t="s">
        <v>141</v>
      </c>
      <c r="B109" s="607"/>
      <c r="C109" s="607"/>
      <c r="D109" s="607"/>
      <c r="E109" s="607"/>
    </row>
    <row r="110" spans="1:5" s="167" customFormat="1" ht="16.5" customHeight="1" x14ac:dyDescent="0.15">
      <c r="A110" s="609" t="s">
        <v>543</v>
      </c>
      <c r="B110" s="609"/>
      <c r="C110" s="609"/>
      <c r="D110" s="609"/>
      <c r="E110" s="609"/>
    </row>
    <row r="111" spans="1:5" customFormat="1" ht="32.25" customHeight="1" x14ac:dyDescent="0.15">
      <c r="A111" s="565" t="s">
        <v>190</v>
      </c>
      <c r="B111" s="565"/>
      <c r="C111" s="565"/>
      <c r="D111" s="565"/>
      <c r="E111" s="565"/>
    </row>
    <row r="112" spans="1:5" ht="18.75" thickBot="1" x14ac:dyDescent="0.2">
      <c r="A112" s="604" t="s">
        <v>99</v>
      </c>
      <c r="B112" s="604"/>
      <c r="C112" s="604"/>
      <c r="D112" s="604"/>
      <c r="E112" s="604"/>
    </row>
    <row r="113" spans="1:5" ht="21" customHeight="1" x14ac:dyDescent="0.15">
      <c r="A113" s="605" t="s">
        <v>1</v>
      </c>
      <c r="B113" s="586" t="s">
        <v>2</v>
      </c>
      <c r="C113" s="588" t="s">
        <v>3</v>
      </c>
      <c r="D113" s="601" t="s">
        <v>4</v>
      </c>
      <c r="E113" s="601"/>
    </row>
    <row r="114" spans="1:5" ht="21" customHeight="1" x14ac:dyDescent="0.15">
      <c r="A114" s="606"/>
      <c r="B114" s="587"/>
      <c r="C114" s="589"/>
      <c r="D114" s="250" t="s">
        <v>70</v>
      </c>
      <c r="E114" s="63" t="s">
        <v>71</v>
      </c>
    </row>
    <row r="115" spans="1:5" ht="21" customHeight="1" x14ac:dyDescent="0.15">
      <c r="A115" s="61">
        <v>19</v>
      </c>
      <c r="B115" s="80" t="s">
        <v>142</v>
      </c>
      <c r="C115" s="71"/>
      <c r="D115" s="275"/>
      <c r="E115" s="64"/>
    </row>
    <row r="116" spans="1:5" ht="21" customHeight="1" x14ac:dyDescent="0.15">
      <c r="A116" s="166" t="s">
        <v>143</v>
      </c>
      <c r="B116" s="180"/>
      <c r="C116" s="66"/>
      <c r="D116" s="268"/>
      <c r="E116" s="73"/>
    </row>
    <row r="117" spans="1:5" ht="21" customHeight="1" x14ac:dyDescent="0.15">
      <c r="A117" s="166" t="s">
        <v>144</v>
      </c>
      <c r="B117" s="180"/>
      <c r="C117" s="66"/>
      <c r="D117" s="269"/>
      <c r="E117" s="69"/>
    </row>
    <row r="118" spans="1:5" ht="21" customHeight="1" x14ac:dyDescent="0.15">
      <c r="A118" s="232" t="s">
        <v>145</v>
      </c>
      <c r="B118" s="223" t="s">
        <v>146</v>
      </c>
      <c r="C118" s="233"/>
      <c r="D118" s="266"/>
      <c r="E118" s="234"/>
    </row>
    <row r="119" spans="1:5" ht="21" customHeight="1" x14ac:dyDescent="0.15">
      <c r="A119" s="54">
        <v>21</v>
      </c>
      <c r="B119" s="80" t="s">
        <v>147</v>
      </c>
      <c r="C119" s="70"/>
      <c r="D119" s="267"/>
      <c r="E119" s="69"/>
    </row>
    <row r="120" spans="1:5" ht="21" customHeight="1" x14ac:dyDescent="0.15">
      <c r="A120" s="55">
        <v>211</v>
      </c>
      <c r="B120" s="83" t="s">
        <v>148</v>
      </c>
      <c r="C120" s="5"/>
      <c r="D120" s="269"/>
      <c r="E120" s="69"/>
    </row>
    <row r="121" spans="1:5" ht="21" customHeight="1" x14ac:dyDescent="0.15">
      <c r="A121" s="55">
        <v>2111</v>
      </c>
      <c r="B121" s="75" t="s">
        <v>149</v>
      </c>
      <c r="C121" s="5"/>
      <c r="D121" s="269"/>
      <c r="E121" s="69"/>
    </row>
    <row r="122" spans="1:5" ht="21" customHeight="1" x14ac:dyDescent="0.15">
      <c r="A122" s="55">
        <v>2112</v>
      </c>
      <c r="B122" s="75" t="s">
        <v>150</v>
      </c>
      <c r="C122" s="64"/>
      <c r="D122" s="251"/>
      <c r="E122" s="64"/>
    </row>
    <row r="123" spans="1:5" ht="21" customHeight="1" x14ac:dyDescent="0.15">
      <c r="A123" s="55">
        <v>2113</v>
      </c>
      <c r="B123" s="75" t="s">
        <v>151</v>
      </c>
      <c r="C123" s="5"/>
      <c r="D123" s="268"/>
      <c r="E123" s="73"/>
    </row>
    <row r="124" spans="1:5" ht="21" customHeight="1" x14ac:dyDescent="0.15">
      <c r="A124" s="59">
        <v>2114</v>
      </c>
      <c r="B124" s="75" t="s">
        <v>152</v>
      </c>
      <c r="C124" s="73"/>
      <c r="D124" s="268"/>
      <c r="E124" s="73"/>
    </row>
    <row r="125" spans="1:5" ht="21" customHeight="1" x14ac:dyDescent="0.15">
      <c r="A125" s="55">
        <v>212</v>
      </c>
      <c r="B125" s="83" t="s">
        <v>153</v>
      </c>
      <c r="C125" s="5"/>
      <c r="D125" s="269"/>
      <c r="E125" s="69"/>
    </row>
    <row r="126" spans="1:5" ht="21" customHeight="1" x14ac:dyDescent="0.15">
      <c r="A126" s="55">
        <v>213</v>
      </c>
      <c r="B126" s="83" t="s">
        <v>154</v>
      </c>
      <c r="C126" s="93"/>
      <c r="D126" s="270"/>
      <c r="E126" s="94"/>
    </row>
    <row r="127" spans="1:5" ht="21" customHeight="1" x14ac:dyDescent="0.15">
      <c r="A127" s="55">
        <v>2131</v>
      </c>
      <c r="B127" s="75" t="s">
        <v>155</v>
      </c>
      <c r="C127" s="66"/>
      <c r="D127" s="269"/>
      <c r="E127" s="69"/>
    </row>
    <row r="128" spans="1:5" ht="21" customHeight="1" x14ac:dyDescent="0.15">
      <c r="A128" s="55">
        <v>2132</v>
      </c>
      <c r="B128" s="75" t="s">
        <v>156</v>
      </c>
      <c r="C128" s="64"/>
      <c r="D128" s="251"/>
      <c r="E128" s="64"/>
    </row>
    <row r="129" spans="1:5" ht="21" customHeight="1" x14ac:dyDescent="0.15">
      <c r="A129" s="55">
        <v>2133</v>
      </c>
      <c r="B129" s="75" t="s">
        <v>157</v>
      </c>
      <c r="C129" s="66"/>
      <c r="D129" s="269"/>
      <c r="E129" s="69"/>
    </row>
    <row r="130" spans="1:5" ht="21" customHeight="1" x14ac:dyDescent="0.15">
      <c r="A130" s="55">
        <v>2134</v>
      </c>
      <c r="B130" s="75" t="s">
        <v>158</v>
      </c>
      <c r="C130" s="93"/>
      <c r="D130" s="269"/>
      <c r="E130" s="69"/>
    </row>
    <row r="131" spans="1:5" ht="21" customHeight="1" x14ac:dyDescent="0.15">
      <c r="A131" s="55">
        <v>2135</v>
      </c>
      <c r="B131" s="75"/>
      <c r="C131" s="66"/>
      <c r="D131" s="269"/>
      <c r="E131" s="69"/>
    </row>
    <row r="132" spans="1:5" ht="21" customHeight="1" x14ac:dyDescent="0.15">
      <c r="A132" s="55">
        <v>2136</v>
      </c>
      <c r="B132" s="180"/>
      <c r="C132" s="5"/>
      <c r="D132" s="269"/>
      <c r="E132" s="69"/>
    </row>
    <row r="133" spans="1:5" ht="21" customHeight="1" x14ac:dyDescent="0.15">
      <c r="A133" s="55">
        <v>2137</v>
      </c>
      <c r="B133" s="180"/>
      <c r="C133" s="5"/>
      <c r="D133" s="269"/>
      <c r="E133" s="69"/>
    </row>
    <row r="134" spans="1:5" ht="21" customHeight="1" x14ac:dyDescent="0.15">
      <c r="A134" s="55">
        <v>214</v>
      </c>
      <c r="B134" s="83" t="s">
        <v>159</v>
      </c>
      <c r="C134" s="5"/>
      <c r="D134" s="269"/>
      <c r="E134" s="69"/>
    </row>
    <row r="135" spans="1:5" ht="21" customHeight="1" x14ac:dyDescent="0.15">
      <c r="A135" s="55">
        <v>2141</v>
      </c>
      <c r="B135" s="79" t="s">
        <v>523</v>
      </c>
      <c r="C135" s="93"/>
      <c r="D135" s="270"/>
      <c r="E135" s="94"/>
    </row>
    <row r="136" spans="1:5" ht="21" customHeight="1" x14ac:dyDescent="0.15">
      <c r="A136" s="55">
        <v>2142</v>
      </c>
      <c r="B136" s="75" t="s">
        <v>160</v>
      </c>
      <c r="C136" s="93"/>
      <c r="D136" s="270"/>
      <c r="E136" s="94"/>
    </row>
    <row r="137" spans="1:5" ht="21" customHeight="1" x14ac:dyDescent="0.15">
      <c r="A137" s="55">
        <v>2143</v>
      </c>
      <c r="B137" s="75" t="s">
        <v>161</v>
      </c>
      <c r="C137" s="93"/>
      <c r="D137" s="270"/>
      <c r="E137" s="94"/>
    </row>
    <row r="138" spans="1:5" ht="21" customHeight="1" x14ac:dyDescent="0.15">
      <c r="A138" s="55">
        <v>215</v>
      </c>
      <c r="B138" s="231" t="s">
        <v>162</v>
      </c>
      <c r="C138" s="93"/>
      <c r="D138" s="278"/>
      <c r="E138" s="94"/>
    </row>
    <row r="139" spans="1:5" ht="21" customHeight="1" x14ac:dyDescent="0.15">
      <c r="A139" s="55">
        <v>2151</v>
      </c>
      <c r="B139" s="84" t="s">
        <v>163</v>
      </c>
      <c r="C139" s="5"/>
      <c r="D139" s="269"/>
      <c r="E139" s="69"/>
    </row>
    <row r="140" spans="1:5" ht="21" customHeight="1" x14ac:dyDescent="0.15">
      <c r="A140" s="55">
        <v>169</v>
      </c>
      <c r="B140" s="75" t="s">
        <v>164</v>
      </c>
      <c r="C140" s="5"/>
      <c r="D140" s="269"/>
      <c r="E140" s="69"/>
    </row>
    <row r="141" spans="1:5" ht="21" customHeight="1" x14ac:dyDescent="0.15">
      <c r="A141" s="54">
        <v>22</v>
      </c>
      <c r="B141" s="80" t="s">
        <v>165</v>
      </c>
      <c r="C141" s="71"/>
      <c r="D141" s="267"/>
      <c r="E141" s="64"/>
    </row>
    <row r="142" spans="1:5" ht="21" customHeight="1" x14ac:dyDescent="0.15">
      <c r="A142" s="55">
        <v>222</v>
      </c>
      <c r="B142" s="231" t="s">
        <v>166</v>
      </c>
      <c r="C142" s="69"/>
      <c r="D142" s="277"/>
      <c r="E142" s="69"/>
    </row>
    <row r="143" spans="1:5" ht="21" customHeight="1" x14ac:dyDescent="0.15">
      <c r="A143" s="55">
        <v>2221</v>
      </c>
      <c r="B143" s="75" t="s">
        <v>167</v>
      </c>
      <c r="C143" s="73"/>
      <c r="D143" s="268"/>
      <c r="E143" s="73"/>
    </row>
    <row r="144" spans="1:5" ht="21" customHeight="1" thickBot="1" x14ac:dyDescent="0.2">
      <c r="A144" s="60">
        <v>2222</v>
      </c>
      <c r="B144" s="19" t="s">
        <v>168</v>
      </c>
      <c r="C144" s="74"/>
      <c r="D144" s="279"/>
      <c r="E144" s="186"/>
    </row>
    <row r="145" spans="1:5" ht="18" x14ac:dyDescent="0.15">
      <c r="A145" s="603" t="s">
        <v>524</v>
      </c>
      <c r="B145" s="603"/>
      <c r="C145" s="603"/>
      <c r="D145" s="603"/>
      <c r="E145" s="603"/>
    </row>
    <row r="146" spans="1:5" customFormat="1" ht="19.5" customHeight="1" x14ac:dyDescent="0.15">
      <c r="A146" s="609" t="s">
        <v>543</v>
      </c>
      <c r="B146" s="609"/>
      <c r="C146" s="609"/>
      <c r="D146" s="609"/>
      <c r="E146" s="609"/>
    </row>
    <row r="147" spans="1:5" x14ac:dyDescent="0.15">
      <c r="A147" s="565" t="s">
        <v>191</v>
      </c>
      <c r="B147" s="565"/>
      <c r="C147" s="565"/>
      <c r="D147" s="565"/>
      <c r="E147" s="565"/>
    </row>
    <row r="148" spans="1:5" ht="18.75" thickBot="1" x14ac:dyDescent="0.2">
      <c r="A148" s="604" t="s">
        <v>99</v>
      </c>
      <c r="B148" s="604"/>
      <c r="C148" s="604"/>
      <c r="D148" s="604"/>
      <c r="E148" s="604"/>
    </row>
    <row r="149" spans="1:5" ht="21" customHeight="1" x14ac:dyDescent="0.15">
      <c r="A149" s="605" t="s">
        <v>1</v>
      </c>
      <c r="B149" s="586" t="s">
        <v>2</v>
      </c>
      <c r="C149" s="588" t="s">
        <v>3</v>
      </c>
      <c r="D149" s="601" t="s">
        <v>4</v>
      </c>
      <c r="E149" s="601"/>
    </row>
    <row r="150" spans="1:5" ht="21" customHeight="1" x14ac:dyDescent="0.15">
      <c r="A150" s="606"/>
      <c r="B150" s="587"/>
      <c r="C150" s="589"/>
      <c r="D150" s="250" t="s">
        <v>70</v>
      </c>
      <c r="E150" s="63" t="s">
        <v>71</v>
      </c>
    </row>
    <row r="151" spans="1:5" ht="21" customHeight="1" x14ac:dyDescent="0.15">
      <c r="A151" s="59">
        <v>2223</v>
      </c>
      <c r="B151" s="75" t="s">
        <v>169</v>
      </c>
      <c r="C151" s="64"/>
      <c r="D151" s="251"/>
      <c r="E151" s="64"/>
    </row>
    <row r="152" spans="1:5" ht="21" customHeight="1" x14ac:dyDescent="0.15">
      <c r="A152" s="55">
        <v>2224</v>
      </c>
      <c r="B152" s="75" t="s">
        <v>170</v>
      </c>
      <c r="C152" s="67"/>
      <c r="D152" s="255"/>
      <c r="E152" s="67"/>
    </row>
    <row r="153" spans="1:5" ht="21" customHeight="1" x14ac:dyDescent="0.15">
      <c r="A153" s="55">
        <v>2225</v>
      </c>
      <c r="B153" s="180"/>
      <c r="C153" s="5"/>
      <c r="D153" s="268"/>
      <c r="E153" s="73"/>
    </row>
    <row r="154" spans="1:5" ht="21" customHeight="1" x14ac:dyDescent="0.15">
      <c r="A154" s="55">
        <v>2226</v>
      </c>
      <c r="B154" s="180"/>
      <c r="C154" s="5"/>
      <c r="D154" s="268"/>
      <c r="E154" s="73"/>
    </row>
    <row r="155" spans="1:5" ht="21" customHeight="1" x14ac:dyDescent="0.15">
      <c r="A155" s="55">
        <v>2227</v>
      </c>
      <c r="B155" s="180"/>
      <c r="C155" s="5"/>
      <c r="D155" s="268"/>
      <c r="E155" s="73"/>
    </row>
    <row r="156" spans="1:5" ht="21" customHeight="1" x14ac:dyDescent="0.15">
      <c r="A156" s="54">
        <v>223</v>
      </c>
      <c r="B156" s="85" t="s">
        <v>171</v>
      </c>
      <c r="C156" s="70"/>
      <c r="D156" s="272"/>
      <c r="E156" s="73"/>
    </row>
    <row r="157" spans="1:5" ht="21" customHeight="1" x14ac:dyDescent="0.15">
      <c r="A157" s="55">
        <v>2231</v>
      </c>
      <c r="B157" s="75" t="s">
        <v>172</v>
      </c>
      <c r="C157" s="66"/>
      <c r="D157" s="269"/>
      <c r="E157" s="69"/>
    </row>
    <row r="158" spans="1:5" ht="21" customHeight="1" x14ac:dyDescent="0.15">
      <c r="A158" s="55">
        <v>2232</v>
      </c>
      <c r="B158" s="75" t="s">
        <v>173</v>
      </c>
      <c r="C158" s="67"/>
      <c r="D158" s="255"/>
      <c r="E158" s="67"/>
    </row>
    <row r="159" spans="1:5" ht="21" customHeight="1" x14ac:dyDescent="0.15">
      <c r="A159" s="55">
        <v>2233</v>
      </c>
      <c r="B159" s="75" t="s">
        <v>174</v>
      </c>
      <c r="C159" s="5"/>
      <c r="D159" s="268"/>
      <c r="E159" s="73"/>
    </row>
    <row r="160" spans="1:5" ht="21" customHeight="1" x14ac:dyDescent="0.15">
      <c r="A160" s="55">
        <v>2234</v>
      </c>
      <c r="B160" s="84" t="s">
        <v>175</v>
      </c>
      <c r="C160" s="66"/>
      <c r="D160" s="269"/>
      <c r="E160" s="69"/>
    </row>
    <row r="161" spans="1:5" ht="21" customHeight="1" x14ac:dyDescent="0.15">
      <c r="A161" s="55">
        <v>2235</v>
      </c>
      <c r="B161" s="75" t="s">
        <v>176</v>
      </c>
      <c r="C161" s="66"/>
      <c r="D161" s="269"/>
      <c r="E161" s="69"/>
    </row>
    <row r="162" spans="1:5" ht="21" customHeight="1" x14ac:dyDescent="0.15">
      <c r="A162" s="55">
        <v>2236</v>
      </c>
      <c r="B162" s="75" t="s">
        <v>177</v>
      </c>
      <c r="C162" s="5"/>
      <c r="D162" s="268"/>
      <c r="E162" s="73"/>
    </row>
    <row r="163" spans="1:5" ht="21" customHeight="1" x14ac:dyDescent="0.15">
      <c r="A163" s="55">
        <v>2237</v>
      </c>
      <c r="B163" s="75" t="s">
        <v>178</v>
      </c>
      <c r="C163" s="5"/>
      <c r="D163" s="268"/>
      <c r="E163" s="73"/>
    </row>
    <row r="164" spans="1:5" ht="21" customHeight="1" x14ac:dyDescent="0.15">
      <c r="A164" s="55">
        <v>2238</v>
      </c>
      <c r="B164" s="75" t="s">
        <v>179</v>
      </c>
      <c r="C164" s="5"/>
      <c r="D164" s="268"/>
      <c r="E164" s="73"/>
    </row>
    <row r="165" spans="1:5" ht="21" customHeight="1" x14ac:dyDescent="0.15">
      <c r="A165" s="55">
        <v>2239</v>
      </c>
      <c r="B165" s="180"/>
      <c r="C165" s="5"/>
      <c r="D165" s="268"/>
      <c r="E165" s="73"/>
    </row>
    <row r="166" spans="1:5" ht="21" customHeight="1" x14ac:dyDescent="0.15">
      <c r="A166" s="54">
        <v>23</v>
      </c>
      <c r="B166" s="80" t="s">
        <v>180</v>
      </c>
      <c r="C166" s="68"/>
      <c r="D166" s="272"/>
      <c r="E166" s="69"/>
    </row>
    <row r="167" spans="1:5" ht="21" customHeight="1" x14ac:dyDescent="0.15">
      <c r="A167" s="55">
        <v>231</v>
      </c>
      <c r="B167" s="75" t="s">
        <v>181</v>
      </c>
      <c r="C167" s="5"/>
      <c r="D167" s="269"/>
      <c r="E167" s="69"/>
    </row>
    <row r="168" spans="1:5" ht="21" customHeight="1" x14ac:dyDescent="0.15">
      <c r="A168" s="55">
        <v>232</v>
      </c>
      <c r="B168" s="75" t="s">
        <v>182</v>
      </c>
      <c r="C168" s="67"/>
      <c r="D168" s="255"/>
      <c r="E168" s="67"/>
    </row>
    <row r="169" spans="1:5" ht="21" customHeight="1" x14ac:dyDescent="0.15">
      <c r="A169" s="55">
        <v>233</v>
      </c>
      <c r="B169" s="180"/>
      <c r="C169" s="94"/>
      <c r="D169" s="270"/>
      <c r="E169" s="94"/>
    </row>
    <row r="170" spans="1:5" ht="21" customHeight="1" x14ac:dyDescent="0.15">
      <c r="A170" s="55">
        <v>234</v>
      </c>
      <c r="B170" s="180"/>
      <c r="C170" s="94"/>
      <c r="D170" s="270"/>
      <c r="E170" s="94"/>
    </row>
    <row r="171" spans="1:5" ht="21" customHeight="1" x14ac:dyDescent="0.15">
      <c r="A171" s="55">
        <v>235</v>
      </c>
      <c r="B171" s="180"/>
      <c r="C171" s="94"/>
      <c r="D171" s="270"/>
      <c r="E171" s="94"/>
    </row>
    <row r="172" spans="1:5" ht="21" customHeight="1" x14ac:dyDescent="0.15">
      <c r="A172" s="55">
        <v>236</v>
      </c>
      <c r="B172" s="180"/>
      <c r="C172" s="94"/>
      <c r="D172" s="270"/>
      <c r="E172" s="94"/>
    </row>
    <row r="173" spans="1:5" ht="21" customHeight="1" x14ac:dyDescent="0.15">
      <c r="A173" s="55">
        <v>237</v>
      </c>
      <c r="B173" s="180"/>
      <c r="C173" s="94"/>
      <c r="D173" s="270"/>
      <c r="E173" s="94"/>
    </row>
    <row r="174" spans="1:5" ht="21" customHeight="1" x14ac:dyDescent="0.15">
      <c r="A174" s="54">
        <v>24</v>
      </c>
      <c r="B174" s="86" t="s">
        <v>183</v>
      </c>
      <c r="C174" s="183"/>
      <c r="D174" s="270"/>
      <c r="E174" s="94"/>
    </row>
    <row r="175" spans="1:5" ht="21" customHeight="1" x14ac:dyDescent="0.15">
      <c r="A175" s="55">
        <v>241</v>
      </c>
      <c r="B175" s="87"/>
      <c r="C175" s="93"/>
      <c r="D175" s="270"/>
      <c r="E175" s="94"/>
    </row>
    <row r="176" spans="1:5" ht="21" customHeight="1" x14ac:dyDescent="0.15">
      <c r="A176" s="55">
        <v>242</v>
      </c>
      <c r="B176" s="87"/>
      <c r="C176" s="66"/>
      <c r="D176" s="269"/>
      <c r="E176" s="69"/>
    </row>
    <row r="177" spans="1:5" ht="33" customHeight="1" x14ac:dyDescent="0.15">
      <c r="A177" s="232">
        <v>2</v>
      </c>
      <c r="B177" s="287" t="s">
        <v>184</v>
      </c>
      <c r="C177" s="233"/>
      <c r="D177" s="266"/>
      <c r="E177" s="234"/>
    </row>
    <row r="178" spans="1:5" ht="20.25" customHeight="1" x14ac:dyDescent="0.15">
      <c r="A178" s="602" t="s">
        <v>185</v>
      </c>
      <c r="B178" s="602"/>
      <c r="C178" s="602"/>
      <c r="D178" s="602"/>
      <c r="E178" s="602"/>
    </row>
    <row r="179" spans="1:5" ht="20.25" customHeight="1" x14ac:dyDescent="0.15">
      <c r="A179" s="602" t="s">
        <v>186</v>
      </c>
      <c r="B179" s="602"/>
      <c r="C179" s="602"/>
      <c r="D179" s="602"/>
      <c r="E179" s="602"/>
    </row>
    <row r="180" spans="1:5" customFormat="1" ht="20.25" customHeight="1" x14ac:dyDescent="0.15">
      <c r="A180" s="602" t="s">
        <v>187</v>
      </c>
      <c r="B180" s="602"/>
      <c r="C180" s="602"/>
      <c r="D180" s="602"/>
      <c r="E180" s="602"/>
    </row>
    <row r="181" spans="1:5" customFormat="1" ht="20.25" customHeight="1" x14ac:dyDescent="0.15">
      <c r="A181" s="600" t="s">
        <v>543</v>
      </c>
      <c r="B181" s="600"/>
      <c r="C181" s="600"/>
      <c r="D181" s="600"/>
      <c r="E181" s="600"/>
    </row>
    <row r="182" spans="1:5" x14ac:dyDescent="0.15">
      <c r="A182" s="565" t="s">
        <v>192</v>
      </c>
      <c r="B182" s="565"/>
      <c r="C182" s="565"/>
      <c r="D182" s="565"/>
      <c r="E182" s="565"/>
    </row>
  </sheetData>
  <sheetProtection formatCells="0" formatColumns="0" formatRows="0"/>
  <protectedRanges>
    <protectedRange sqref="B21:B23 B33 C42:E72 B46:B48 B55:B56 B63:B66 C78:E108 B84 B90:B93 B97:B99 B105:B108 C115:E144 B116:B117 B131:B133 C151:E177 B153:B155 B165 B169:B173 B175:B176 C4:E36" name="قائمة المركز المالي"/>
  </protectedRanges>
  <mergeCells count="40">
    <mergeCell ref="A37:E37"/>
    <mergeCell ref="A73:E73"/>
    <mergeCell ref="A110:E110"/>
    <mergeCell ref="A146:E146"/>
    <mergeCell ref="A1:E1"/>
    <mergeCell ref="A2:A3"/>
    <mergeCell ref="B2:B3"/>
    <mergeCell ref="C2:C3"/>
    <mergeCell ref="D2:E2"/>
    <mergeCell ref="A182:E182"/>
    <mergeCell ref="A39:E39"/>
    <mergeCell ref="A40:A41"/>
    <mergeCell ref="B40:B41"/>
    <mergeCell ref="C40:C41"/>
    <mergeCell ref="D40:E40"/>
    <mergeCell ref="A75:E75"/>
    <mergeCell ref="A76:A77"/>
    <mergeCell ref="B76:B77"/>
    <mergeCell ref="C76:C77"/>
    <mergeCell ref="D76:E76"/>
    <mergeCell ref="A109:E109"/>
    <mergeCell ref="A112:E112"/>
    <mergeCell ref="A113:A114"/>
    <mergeCell ref="B113:B114"/>
    <mergeCell ref="C113:C114"/>
    <mergeCell ref="A181:E181"/>
    <mergeCell ref="A38:E38"/>
    <mergeCell ref="A74:E74"/>
    <mergeCell ref="A111:E111"/>
    <mergeCell ref="A147:E147"/>
    <mergeCell ref="D113:E113"/>
    <mergeCell ref="A178:E178"/>
    <mergeCell ref="A179:E179"/>
    <mergeCell ref="A180:E180"/>
    <mergeCell ref="A145:E145"/>
    <mergeCell ref="A148:E148"/>
    <mergeCell ref="A149:A150"/>
    <mergeCell ref="B149:B150"/>
    <mergeCell ref="C149:C150"/>
    <mergeCell ref="D149:E149"/>
  </mergeCells>
  <printOptions horizontalCentered="1" verticalCentered="1"/>
  <pageMargins left="0" right="0" top="0" bottom="0" header="0" footer="0"/>
  <pageSetup paperSize="9" orientation="portrait" r:id="rId1"/>
  <rowBreaks count="4" manualBreakCount="4">
    <brk id="38" max="16383" man="1"/>
    <brk id="74" max="16383" man="1"/>
    <brk id="111" max="16383" man="1"/>
    <brk id="147"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499984740745262"/>
  </sheetPr>
  <dimension ref="A1:E67"/>
  <sheetViews>
    <sheetView rightToLeft="1" workbookViewId="0">
      <selection sqref="A1:E1"/>
    </sheetView>
  </sheetViews>
  <sheetFormatPr defaultColWidth="8.94921875" defaultRowHeight="13.5" x14ac:dyDescent="0.15"/>
  <cols>
    <col min="1" max="1" width="5.515625" style="1" customWidth="1"/>
    <col min="2" max="2" width="26.35546875" style="81" customWidth="1"/>
    <col min="3" max="3" width="5.1484375" style="10" customWidth="1"/>
    <col min="4" max="4" width="24.39453125" style="260" customWidth="1"/>
    <col min="5" max="5" width="30.76953125" style="1" customWidth="1"/>
    <col min="6" max="16384" width="8.94921875" style="1"/>
  </cols>
  <sheetData>
    <row r="1" spans="1:5" ht="33" customHeight="1" thickBot="1" x14ac:dyDescent="0.2">
      <c r="A1" s="627" t="s">
        <v>567</v>
      </c>
      <c r="B1" s="627"/>
      <c r="C1" s="627"/>
      <c r="D1" s="627"/>
      <c r="E1" s="627"/>
    </row>
    <row r="2" spans="1:5" ht="21" customHeight="1" x14ac:dyDescent="0.15">
      <c r="A2" s="605" t="s">
        <v>1</v>
      </c>
      <c r="B2" s="586" t="s">
        <v>2</v>
      </c>
      <c r="C2" s="588" t="s">
        <v>3</v>
      </c>
      <c r="D2" s="601" t="s">
        <v>4</v>
      </c>
      <c r="E2" s="628"/>
    </row>
    <row r="3" spans="1:5" ht="21" customHeight="1" x14ac:dyDescent="0.15">
      <c r="A3" s="606"/>
      <c r="B3" s="587"/>
      <c r="C3" s="589"/>
      <c r="D3" s="250" t="s">
        <v>70</v>
      </c>
      <c r="E3" s="103" t="s">
        <v>71</v>
      </c>
    </row>
    <row r="4" spans="1:5" ht="21" customHeight="1" x14ac:dyDescent="0.15">
      <c r="A4" s="225">
        <v>311</v>
      </c>
      <c r="B4" s="230" t="s">
        <v>193</v>
      </c>
      <c r="C4" s="64"/>
      <c r="D4" s="251"/>
      <c r="E4" s="64"/>
    </row>
    <row r="5" spans="1:5" ht="21" customHeight="1" x14ac:dyDescent="0.15">
      <c r="A5" s="101">
        <v>3111</v>
      </c>
      <c r="B5" s="96" t="s">
        <v>194</v>
      </c>
      <c r="C5" s="64"/>
      <c r="D5" s="251"/>
      <c r="E5" s="188"/>
    </row>
    <row r="6" spans="1:5" ht="21" customHeight="1" x14ac:dyDescent="0.15">
      <c r="A6" s="55">
        <v>3112</v>
      </c>
      <c r="B6" s="75" t="s">
        <v>195</v>
      </c>
      <c r="C6" s="5"/>
      <c r="D6" s="252"/>
      <c r="E6" s="189"/>
    </row>
    <row r="7" spans="1:5" ht="21" customHeight="1" x14ac:dyDescent="0.15">
      <c r="A7" s="225">
        <v>312</v>
      </c>
      <c r="B7" s="230" t="s">
        <v>196</v>
      </c>
      <c r="C7" s="5"/>
      <c r="D7" s="251"/>
      <c r="E7" s="189"/>
    </row>
    <row r="8" spans="1:5" ht="21" customHeight="1" x14ac:dyDescent="0.15">
      <c r="A8" s="55">
        <v>3121</v>
      </c>
      <c r="B8" s="75" t="s">
        <v>197</v>
      </c>
      <c r="C8" s="5"/>
      <c r="D8" s="251"/>
      <c r="E8" s="189"/>
    </row>
    <row r="9" spans="1:5" ht="21" customHeight="1" x14ac:dyDescent="0.15">
      <c r="A9" s="55">
        <v>3122</v>
      </c>
      <c r="B9" s="76" t="s">
        <v>198</v>
      </c>
      <c r="C9" s="5"/>
      <c r="D9" s="252"/>
      <c r="E9" s="189"/>
    </row>
    <row r="10" spans="1:5" ht="21" customHeight="1" x14ac:dyDescent="0.15">
      <c r="A10" s="225">
        <v>313</v>
      </c>
      <c r="B10" s="230" t="s">
        <v>199</v>
      </c>
      <c r="C10" s="5"/>
      <c r="D10" s="251"/>
      <c r="E10" s="189"/>
    </row>
    <row r="11" spans="1:5" ht="21" customHeight="1" x14ac:dyDescent="0.15">
      <c r="A11" s="55">
        <v>3131</v>
      </c>
      <c r="B11" s="77" t="s">
        <v>200</v>
      </c>
      <c r="C11" s="5"/>
      <c r="D11" s="252"/>
      <c r="E11" s="189"/>
    </row>
    <row r="12" spans="1:5" ht="21" customHeight="1" x14ac:dyDescent="0.15">
      <c r="A12" s="55">
        <v>3132</v>
      </c>
      <c r="B12" s="77" t="s">
        <v>201</v>
      </c>
      <c r="C12" s="5"/>
      <c r="D12" s="252"/>
      <c r="E12" s="189"/>
    </row>
    <row r="13" spans="1:5" ht="21" customHeight="1" x14ac:dyDescent="0.15">
      <c r="A13" s="225">
        <v>314</v>
      </c>
      <c r="B13" s="230" t="s">
        <v>202</v>
      </c>
      <c r="C13" s="5"/>
      <c r="D13" s="251"/>
      <c r="E13" s="189"/>
    </row>
    <row r="14" spans="1:5" ht="21" customHeight="1" x14ac:dyDescent="0.15">
      <c r="A14" s="55">
        <v>3141</v>
      </c>
      <c r="B14" s="32" t="s">
        <v>203</v>
      </c>
      <c r="C14" s="5"/>
      <c r="D14" s="252"/>
      <c r="E14" s="189"/>
    </row>
    <row r="15" spans="1:5" ht="21" customHeight="1" x14ac:dyDescent="0.15">
      <c r="A15" s="55">
        <v>3142</v>
      </c>
      <c r="B15" s="96" t="s">
        <v>204</v>
      </c>
      <c r="C15" s="65"/>
      <c r="D15" s="251"/>
      <c r="E15" s="188"/>
    </row>
    <row r="16" spans="1:5" ht="21" customHeight="1" x14ac:dyDescent="0.15">
      <c r="A16" s="225">
        <v>315</v>
      </c>
      <c r="B16" s="230" t="s">
        <v>205</v>
      </c>
      <c r="C16" s="66"/>
      <c r="D16" s="253"/>
      <c r="E16" s="190"/>
    </row>
    <row r="17" spans="1:5" ht="21" customHeight="1" x14ac:dyDescent="0.15">
      <c r="A17" s="225">
        <v>316</v>
      </c>
      <c r="B17" s="230" t="s">
        <v>206</v>
      </c>
      <c r="C17" s="93"/>
      <c r="D17" s="251"/>
      <c r="E17" s="191"/>
    </row>
    <row r="18" spans="1:5" ht="21" customHeight="1" x14ac:dyDescent="0.15">
      <c r="A18" s="55">
        <v>3161</v>
      </c>
      <c r="B18" s="76" t="s">
        <v>207</v>
      </c>
      <c r="C18" s="66"/>
      <c r="D18" s="253"/>
      <c r="E18" s="190"/>
    </row>
    <row r="19" spans="1:5" ht="21" customHeight="1" x14ac:dyDescent="0.15">
      <c r="A19" s="55">
        <v>3162</v>
      </c>
      <c r="B19" s="76" t="s">
        <v>208</v>
      </c>
      <c r="C19" s="66"/>
      <c r="D19" s="253"/>
      <c r="E19" s="190"/>
    </row>
    <row r="20" spans="1:5" ht="21" customHeight="1" x14ac:dyDescent="0.15">
      <c r="A20" s="226">
        <v>31</v>
      </c>
      <c r="B20" s="224" t="s">
        <v>209</v>
      </c>
      <c r="C20" s="227"/>
      <c r="D20" s="251"/>
      <c r="E20" s="191"/>
    </row>
    <row r="21" spans="1:5" ht="21" customHeight="1" x14ac:dyDescent="0.15">
      <c r="A21" s="226">
        <v>32</v>
      </c>
      <c r="B21" s="224" t="s">
        <v>210</v>
      </c>
      <c r="C21" s="227"/>
      <c r="D21" s="254"/>
      <c r="E21" s="283"/>
    </row>
    <row r="22" spans="1:5" ht="21" customHeight="1" x14ac:dyDescent="0.15">
      <c r="A22" s="225">
        <v>321</v>
      </c>
      <c r="B22" s="230" t="s">
        <v>211</v>
      </c>
      <c r="C22" s="66"/>
      <c r="D22" s="251"/>
      <c r="E22" s="282"/>
    </row>
    <row r="23" spans="1:5" ht="21" customHeight="1" x14ac:dyDescent="0.15">
      <c r="A23" s="55">
        <v>3211</v>
      </c>
      <c r="B23" s="32" t="s">
        <v>212</v>
      </c>
      <c r="C23" s="93"/>
      <c r="D23" s="254"/>
      <c r="E23" s="191"/>
    </row>
    <row r="24" spans="1:5" ht="21" customHeight="1" x14ac:dyDescent="0.15">
      <c r="A24" s="55">
        <v>3212</v>
      </c>
      <c r="B24" s="95" t="s">
        <v>213</v>
      </c>
      <c r="C24" s="66"/>
      <c r="D24" s="253"/>
      <c r="E24" s="190"/>
    </row>
    <row r="25" spans="1:5" ht="28.5" x14ac:dyDescent="0.15">
      <c r="A25" s="225">
        <v>322</v>
      </c>
      <c r="B25" s="230" t="s">
        <v>214</v>
      </c>
      <c r="C25" s="66"/>
      <c r="D25" s="251"/>
      <c r="E25" s="190"/>
    </row>
    <row r="26" spans="1:5" ht="21" customHeight="1" x14ac:dyDescent="0.15">
      <c r="A26" s="225">
        <v>323</v>
      </c>
      <c r="B26" s="230" t="s">
        <v>215</v>
      </c>
      <c r="C26" s="66"/>
      <c r="D26" s="251"/>
      <c r="E26" s="282"/>
    </row>
    <row r="27" spans="1:5" ht="21" customHeight="1" x14ac:dyDescent="0.15">
      <c r="A27" s="55">
        <v>3231</v>
      </c>
      <c r="B27" s="75" t="s">
        <v>216</v>
      </c>
      <c r="C27" s="66"/>
      <c r="D27" s="253"/>
      <c r="E27" s="190"/>
    </row>
    <row r="28" spans="1:5" ht="21" customHeight="1" x14ac:dyDescent="0.15">
      <c r="A28" s="55">
        <v>3232</v>
      </c>
      <c r="B28" s="75" t="s">
        <v>217</v>
      </c>
      <c r="C28" s="66"/>
      <c r="D28" s="253"/>
      <c r="E28" s="190"/>
    </row>
    <row r="29" spans="1:5" ht="21" customHeight="1" x14ac:dyDescent="0.15">
      <c r="A29" s="55">
        <v>3233</v>
      </c>
      <c r="B29" s="75" t="s">
        <v>218</v>
      </c>
      <c r="C29" s="67"/>
      <c r="D29" s="255"/>
      <c r="E29" s="192"/>
    </row>
    <row r="30" spans="1:5" ht="21" customHeight="1" x14ac:dyDescent="0.15">
      <c r="A30" s="55">
        <v>3234</v>
      </c>
      <c r="B30" s="75" t="s">
        <v>219</v>
      </c>
      <c r="C30" s="66"/>
      <c r="D30" s="253"/>
      <c r="E30" s="190"/>
    </row>
    <row r="31" spans="1:5" ht="21" customHeight="1" x14ac:dyDescent="0.15">
      <c r="A31" s="55">
        <v>3235</v>
      </c>
      <c r="B31" s="75" t="s">
        <v>220</v>
      </c>
      <c r="C31" s="66"/>
      <c r="D31" s="253"/>
      <c r="E31" s="190"/>
    </row>
    <row r="32" spans="1:5" ht="21" customHeight="1" x14ac:dyDescent="0.15">
      <c r="A32" s="55">
        <v>3236</v>
      </c>
      <c r="B32" s="75" t="s">
        <v>221</v>
      </c>
      <c r="C32" s="93"/>
      <c r="D32" s="254"/>
      <c r="E32" s="191"/>
    </row>
    <row r="33" spans="1:5" ht="21" customHeight="1" x14ac:dyDescent="0.15">
      <c r="A33" s="55">
        <v>3237</v>
      </c>
      <c r="B33" s="180"/>
      <c r="C33" s="93"/>
      <c r="D33" s="254"/>
      <c r="E33" s="191"/>
    </row>
    <row r="34" spans="1:5" ht="21" customHeight="1" x14ac:dyDescent="0.15">
      <c r="A34" s="56">
        <v>3238</v>
      </c>
      <c r="B34" s="78"/>
      <c r="C34" s="66"/>
      <c r="D34" s="253"/>
      <c r="E34" s="190"/>
    </row>
    <row r="35" spans="1:5" ht="21" customHeight="1" thickBot="1" x14ac:dyDescent="0.2">
      <c r="A35" s="60">
        <v>3239</v>
      </c>
      <c r="B35" s="19"/>
      <c r="C35" s="105"/>
      <c r="D35" s="256"/>
      <c r="E35" s="193"/>
    </row>
    <row r="36" spans="1:5" ht="24" customHeight="1" x14ac:dyDescent="0.15">
      <c r="A36" s="608" t="s">
        <v>543</v>
      </c>
      <c r="B36" s="608"/>
      <c r="C36" s="608"/>
      <c r="D36" s="608"/>
      <c r="E36" s="608"/>
    </row>
    <row r="37" spans="1:5" ht="24" customHeight="1" x14ac:dyDescent="0.15">
      <c r="A37" s="565" t="s">
        <v>241</v>
      </c>
      <c r="B37" s="565"/>
      <c r="C37" s="565"/>
      <c r="D37" s="565"/>
      <c r="E37" s="565"/>
    </row>
    <row r="38" spans="1:5" ht="39" customHeight="1" thickBot="1" x14ac:dyDescent="0.25">
      <c r="A38" s="626" t="s">
        <v>222</v>
      </c>
      <c r="B38" s="626"/>
      <c r="C38" s="626"/>
      <c r="D38" s="626"/>
      <c r="E38" s="626"/>
    </row>
    <row r="39" spans="1:5" ht="21" customHeight="1" x14ac:dyDescent="0.15">
      <c r="A39" s="605" t="s">
        <v>1</v>
      </c>
      <c r="B39" s="619" t="s">
        <v>2</v>
      </c>
      <c r="C39" s="588" t="s">
        <v>3</v>
      </c>
      <c r="D39" s="590" t="s">
        <v>4</v>
      </c>
      <c r="E39" s="591"/>
    </row>
    <row r="40" spans="1:5" ht="21" customHeight="1" x14ac:dyDescent="0.15">
      <c r="A40" s="606"/>
      <c r="B40" s="620"/>
      <c r="C40" s="589"/>
      <c r="D40" s="257" t="s">
        <v>70</v>
      </c>
      <c r="E40" s="11" t="s">
        <v>71</v>
      </c>
    </row>
    <row r="41" spans="1:5" ht="21" customHeight="1" x14ac:dyDescent="0.15">
      <c r="A41" s="102">
        <v>324</v>
      </c>
      <c r="B41" s="100" t="s">
        <v>223</v>
      </c>
      <c r="C41" s="93"/>
      <c r="D41" s="258"/>
      <c r="E41" s="178"/>
    </row>
    <row r="42" spans="1:5" ht="21" customHeight="1" x14ac:dyDescent="0.15">
      <c r="A42" s="102">
        <v>325</v>
      </c>
      <c r="B42" s="100" t="s">
        <v>224</v>
      </c>
      <c r="C42" s="66"/>
      <c r="D42" s="251"/>
      <c r="E42" s="13"/>
    </row>
    <row r="43" spans="1:5" ht="21" customHeight="1" x14ac:dyDescent="0.15">
      <c r="A43" s="62">
        <v>3251</v>
      </c>
      <c r="B43" s="89" t="s">
        <v>225</v>
      </c>
      <c r="C43" s="5"/>
      <c r="D43" s="251"/>
      <c r="E43" s="13"/>
    </row>
    <row r="44" spans="1:5" ht="21" customHeight="1" x14ac:dyDescent="0.15">
      <c r="A44" s="62">
        <v>3252</v>
      </c>
      <c r="B44" s="89" t="s">
        <v>226</v>
      </c>
      <c r="C44" s="5"/>
      <c r="D44" s="251"/>
      <c r="E44" s="13"/>
    </row>
    <row r="45" spans="1:5" ht="21" customHeight="1" x14ac:dyDescent="0.15">
      <c r="A45" s="62">
        <v>3253</v>
      </c>
      <c r="B45" s="89" t="s">
        <v>227</v>
      </c>
      <c r="C45" s="5"/>
      <c r="D45" s="251"/>
      <c r="E45" s="13"/>
    </row>
    <row r="46" spans="1:5" ht="21" customHeight="1" x14ac:dyDescent="0.15">
      <c r="A46" s="106">
        <v>3254</v>
      </c>
      <c r="B46" s="89"/>
      <c r="C46" s="94"/>
      <c r="D46" s="251"/>
      <c r="E46" s="13"/>
    </row>
    <row r="47" spans="1:5" ht="21" customHeight="1" x14ac:dyDescent="0.15">
      <c r="A47" s="102">
        <v>326</v>
      </c>
      <c r="B47" s="100" t="s">
        <v>228</v>
      </c>
      <c r="C47" s="5"/>
      <c r="D47" s="251"/>
      <c r="E47" s="13"/>
    </row>
    <row r="48" spans="1:5" ht="21" customHeight="1" x14ac:dyDescent="0.15">
      <c r="A48" s="106">
        <v>3261</v>
      </c>
      <c r="B48" s="90" t="s">
        <v>229</v>
      </c>
      <c r="C48" s="73"/>
      <c r="D48" s="259"/>
      <c r="E48" s="13"/>
    </row>
    <row r="49" spans="1:5" ht="21" customHeight="1" x14ac:dyDescent="0.15">
      <c r="A49" s="106">
        <v>3262</v>
      </c>
      <c r="B49" s="90" t="s">
        <v>230</v>
      </c>
      <c r="C49" s="73"/>
      <c r="D49" s="259"/>
      <c r="E49" s="13"/>
    </row>
    <row r="50" spans="1:5" ht="21" customHeight="1" x14ac:dyDescent="0.15">
      <c r="A50" s="106">
        <v>3263</v>
      </c>
      <c r="B50" s="194"/>
      <c r="C50" s="94"/>
      <c r="D50" s="258"/>
      <c r="E50" s="178"/>
    </row>
    <row r="51" spans="1:5" ht="21" customHeight="1" x14ac:dyDescent="0.15">
      <c r="A51" s="106">
        <v>3264</v>
      </c>
      <c r="B51" s="194"/>
      <c r="C51" s="94"/>
      <c r="D51" s="258"/>
      <c r="E51" s="178"/>
    </row>
    <row r="52" spans="1:5" ht="21" customHeight="1" x14ac:dyDescent="0.15">
      <c r="A52" s="106">
        <v>3265</v>
      </c>
      <c r="B52" s="194"/>
      <c r="C52" s="73"/>
      <c r="D52" s="259"/>
      <c r="E52" s="13"/>
    </row>
    <row r="53" spans="1:5" ht="21" customHeight="1" x14ac:dyDescent="0.15">
      <c r="A53" s="104">
        <v>33</v>
      </c>
      <c r="B53" s="91" t="s">
        <v>231</v>
      </c>
      <c r="C53" s="88"/>
      <c r="D53" s="251"/>
      <c r="E53" s="188"/>
    </row>
    <row r="54" spans="1:5" ht="21" customHeight="1" x14ac:dyDescent="0.15">
      <c r="A54" s="106">
        <v>46</v>
      </c>
      <c r="B54" s="75" t="s">
        <v>232</v>
      </c>
      <c r="C54" s="73"/>
      <c r="D54" s="259"/>
      <c r="E54" s="13"/>
    </row>
    <row r="55" spans="1:5" ht="21" customHeight="1" x14ac:dyDescent="0.15">
      <c r="A55" s="34">
        <v>47</v>
      </c>
      <c r="B55" s="179"/>
      <c r="C55" s="5"/>
      <c r="D55" s="259"/>
      <c r="E55" s="13"/>
    </row>
    <row r="56" spans="1:5" ht="21" customHeight="1" x14ac:dyDescent="0.15">
      <c r="A56" s="34">
        <v>48</v>
      </c>
      <c r="B56" s="179"/>
      <c r="C56" s="93"/>
      <c r="D56" s="258"/>
      <c r="E56" s="178"/>
    </row>
    <row r="57" spans="1:5" ht="21" customHeight="1" x14ac:dyDescent="0.15">
      <c r="A57" s="104">
        <v>34</v>
      </c>
      <c r="B57" s="92" t="s">
        <v>525</v>
      </c>
      <c r="C57" s="72"/>
      <c r="D57" s="259"/>
      <c r="E57" s="13"/>
    </row>
    <row r="58" spans="1:5" ht="21" customHeight="1" x14ac:dyDescent="0.15">
      <c r="A58" s="62">
        <v>1421</v>
      </c>
      <c r="B58" s="8" t="s">
        <v>233</v>
      </c>
      <c r="C58" s="93"/>
      <c r="D58" s="258"/>
      <c r="E58" s="178"/>
    </row>
    <row r="59" spans="1:5" ht="21" customHeight="1" x14ac:dyDescent="0.15">
      <c r="A59" s="62">
        <v>1422</v>
      </c>
      <c r="B59" s="8" t="s">
        <v>234</v>
      </c>
      <c r="C59" s="93"/>
      <c r="D59" s="258"/>
      <c r="E59" s="178"/>
    </row>
    <row r="60" spans="1:5" ht="21" customHeight="1" x14ac:dyDescent="0.15">
      <c r="A60" s="621">
        <v>35</v>
      </c>
      <c r="B60" s="97" t="s">
        <v>235</v>
      </c>
      <c r="C60" s="622"/>
      <c r="D60" s="623"/>
      <c r="E60" s="625"/>
    </row>
    <row r="61" spans="1:5" ht="21" customHeight="1" x14ac:dyDescent="0.15">
      <c r="A61" s="621"/>
      <c r="B61" s="98" t="s">
        <v>236</v>
      </c>
      <c r="C61" s="622"/>
      <c r="D61" s="624"/>
      <c r="E61" s="625"/>
    </row>
    <row r="62" spans="1:5" ht="21" customHeight="1" x14ac:dyDescent="0.15">
      <c r="A62" s="62">
        <v>1411</v>
      </c>
      <c r="B62" s="8" t="s">
        <v>237</v>
      </c>
      <c r="C62" s="93"/>
      <c r="D62" s="258"/>
      <c r="E62" s="178"/>
    </row>
    <row r="63" spans="1:5" ht="21" customHeight="1" x14ac:dyDescent="0.15">
      <c r="A63" s="62">
        <v>1412</v>
      </c>
      <c r="B63" s="8" t="s">
        <v>238</v>
      </c>
      <c r="C63" s="93"/>
      <c r="D63" s="258"/>
      <c r="E63" s="178"/>
    </row>
    <row r="64" spans="1:5" ht="22.7" customHeight="1" x14ac:dyDescent="0.15">
      <c r="A64" s="611">
        <v>36</v>
      </c>
      <c r="B64" s="99" t="s">
        <v>239</v>
      </c>
      <c r="C64" s="613"/>
      <c r="D64" s="615"/>
      <c r="E64" s="617"/>
    </row>
    <row r="65" spans="1:5" ht="22.7" customHeight="1" thickBot="1" x14ac:dyDescent="0.2">
      <c r="A65" s="612"/>
      <c r="B65" s="107" t="s">
        <v>240</v>
      </c>
      <c r="C65" s="614"/>
      <c r="D65" s="616"/>
      <c r="E65" s="618"/>
    </row>
    <row r="66" spans="1:5" ht="33.75" customHeight="1" x14ac:dyDescent="0.15">
      <c r="A66" s="608" t="s">
        <v>543</v>
      </c>
      <c r="B66" s="608"/>
      <c r="C66" s="608"/>
      <c r="D66" s="608"/>
      <c r="E66" s="608"/>
    </row>
    <row r="67" spans="1:5" ht="162.94999999999999" customHeight="1" x14ac:dyDescent="0.15">
      <c r="A67" s="565" t="s">
        <v>242</v>
      </c>
      <c r="B67" s="565"/>
      <c r="C67" s="565"/>
      <c r="D67" s="565"/>
      <c r="E67" s="565"/>
    </row>
  </sheetData>
  <sheetProtection formatCells="0" formatColumns="0" formatRows="0"/>
  <protectedRanges>
    <protectedRange sqref="C4:E35 B33:B35 B50:B52 B55:B56 C41:E65" name="قائمة التشغيل"/>
  </protectedRanges>
  <mergeCells count="22">
    <mergeCell ref="A38:E38"/>
    <mergeCell ref="A37:E37"/>
    <mergeCell ref="A1:E1"/>
    <mergeCell ref="A2:A3"/>
    <mergeCell ref="B2:B3"/>
    <mergeCell ref="C2:C3"/>
    <mergeCell ref="D2:E2"/>
    <mergeCell ref="A36:E36"/>
    <mergeCell ref="A39:A40"/>
    <mergeCell ref="B39:B40"/>
    <mergeCell ref="C39:C40"/>
    <mergeCell ref="D39:E39"/>
    <mergeCell ref="A60:A61"/>
    <mergeCell ref="C60:C61"/>
    <mergeCell ref="D60:D61"/>
    <mergeCell ref="E60:E61"/>
    <mergeCell ref="A64:A65"/>
    <mergeCell ref="C64:C65"/>
    <mergeCell ref="D64:D65"/>
    <mergeCell ref="E64:E65"/>
    <mergeCell ref="A67:E67"/>
    <mergeCell ref="A66:E66"/>
  </mergeCells>
  <printOptions horizontalCentered="1" verticalCentered="1"/>
  <pageMargins left="0" right="0" top="0" bottom="0" header="0" footer="0"/>
  <pageSetup paperSize="9" scale="99" orientation="portrait" r:id="rId1"/>
  <rowBreaks count="1" manualBreakCount="1">
    <brk id="37"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E145"/>
  <sheetViews>
    <sheetView rightToLeft="1" zoomScale="85" zoomScaleNormal="85" workbookViewId="0">
      <selection activeCell="D142" sqref="D142:D143"/>
    </sheetView>
  </sheetViews>
  <sheetFormatPr defaultColWidth="8.94921875" defaultRowHeight="13.5" x14ac:dyDescent="0.15"/>
  <cols>
    <col min="1" max="1" width="5.515625" style="10" customWidth="1"/>
    <col min="2" max="2" width="24.1484375" style="81" customWidth="1"/>
    <col min="3" max="3" width="5.1484375" style="1" customWidth="1"/>
    <col min="4" max="4" width="30.76953125" style="260" customWidth="1"/>
    <col min="5" max="5" width="27.58203125" style="1" customWidth="1"/>
    <col min="6" max="16384" width="8.94921875" style="1"/>
  </cols>
  <sheetData>
    <row r="1" spans="1:5" ht="18.75" thickBot="1" x14ac:dyDescent="0.2">
      <c r="A1" s="583" t="s">
        <v>565</v>
      </c>
      <c r="B1" s="583"/>
      <c r="C1" s="583"/>
      <c r="D1" s="583"/>
      <c r="E1" s="583"/>
    </row>
    <row r="2" spans="1:5" ht="21" customHeight="1" x14ac:dyDescent="0.15">
      <c r="A2" s="585" t="s">
        <v>1</v>
      </c>
      <c r="B2" s="586" t="s">
        <v>2</v>
      </c>
      <c r="C2" s="588" t="s">
        <v>3</v>
      </c>
      <c r="D2" s="590" t="s">
        <v>4</v>
      </c>
      <c r="E2" s="591"/>
    </row>
    <row r="3" spans="1:5" ht="21" customHeight="1" x14ac:dyDescent="0.15">
      <c r="A3" s="555"/>
      <c r="B3" s="587"/>
      <c r="C3" s="589"/>
      <c r="D3" s="257" t="s">
        <v>70</v>
      </c>
      <c r="E3" s="11" t="s">
        <v>71</v>
      </c>
    </row>
    <row r="4" spans="1:5" ht="21" customHeight="1" x14ac:dyDescent="0.15">
      <c r="A4" s="226">
        <v>411</v>
      </c>
      <c r="B4" s="224" t="s">
        <v>243</v>
      </c>
      <c r="C4" s="227"/>
      <c r="D4" s="251"/>
      <c r="E4" s="188"/>
    </row>
    <row r="5" spans="1:5" ht="21" customHeight="1" x14ac:dyDescent="0.15">
      <c r="A5" s="225">
        <v>4111</v>
      </c>
      <c r="B5" s="230" t="s">
        <v>244</v>
      </c>
      <c r="C5" s="94"/>
      <c r="D5" s="251"/>
      <c r="E5" s="192"/>
    </row>
    <row r="6" spans="1:5" ht="21" customHeight="1" x14ac:dyDescent="0.15">
      <c r="A6" s="196">
        <v>41111</v>
      </c>
      <c r="B6" s="75" t="s">
        <v>245</v>
      </c>
      <c r="C6" s="94"/>
      <c r="D6" s="251"/>
      <c r="E6" s="188"/>
    </row>
    <row r="7" spans="1:5" ht="21" customHeight="1" x14ac:dyDescent="0.15">
      <c r="A7" s="196">
        <v>41112</v>
      </c>
      <c r="B7" s="75" t="s">
        <v>246</v>
      </c>
      <c r="C7" s="94"/>
      <c r="D7" s="251"/>
      <c r="E7" s="188"/>
    </row>
    <row r="8" spans="1:5" ht="21" customHeight="1" x14ac:dyDescent="0.15">
      <c r="A8" s="225">
        <v>4112</v>
      </c>
      <c r="B8" s="230" t="s">
        <v>247</v>
      </c>
      <c r="C8" s="94"/>
      <c r="D8" s="251"/>
      <c r="E8" s="188"/>
    </row>
    <row r="9" spans="1:5" ht="21" customHeight="1" x14ac:dyDescent="0.15">
      <c r="A9" s="195">
        <v>4113</v>
      </c>
      <c r="B9" s="108" t="s">
        <v>248</v>
      </c>
      <c r="C9" s="94"/>
      <c r="D9" s="254"/>
      <c r="E9" s="191"/>
    </row>
    <row r="10" spans="1:5" ht="21" customHeight="1" x14ac:dyDescent="0.15">
      <c r="A10" s="195">
        <v>4114</v>
      </c>
      <c r="B10" s="82" t="s">
        <v>249</v>
      </c>
      <c r="C10" s="94"/>
      <c r="D10" s="254"/>
      <c r="E10" s="191"/>
    </row>
    <row r="11" spans="1:5" ht="21" customHeight="1" x14ac:dyDescent="0.15">
      <c r="A11" s="195">
        <v>4115</v>
      </c>
      <c r="B11" s="108" t="s">
        <v>250</v>
      </c>
      <c r="C11" s="94"/>
      <c r="D11" s="254"/>
      <c r="E11" s="191"/>
    </row>
    <row r="12" spans="1:5" ht="21" customHeight="1" x14ac:dyDescent="0.15">
      <c r="A12" s="195">
        <v>4116</v>
      </c>
      <c r="B12" s="180"/>
      <c r="C12" s="94"/>
      <c r="D12" s="254"/>
      <c r="E12" s="191"/>
    </row>
    <row r="13" spans="1:5" ht="21" customHeight="1" x14ac:dyDescent="0.15">
      <c r="A13" s="195">
        <v>4117</v>
      </c>
      <c r="B13" s="180"/>
      <c r="C13" s="94"/>
      <c r="D13" s="254"/>
      <c r="E13" s="191"/>
    </row>
    <row r="14" spans="1:5" ht="21" customHeight="1" x14ac:dyDescent="0.15">
      <c r="A14" s="226">
        <v>371</v>
      </c>
      <c r="B14" s="224" t="s">
        <v>251</v>
      </c>
      <c r="C14" s="227"/>
      <c r="D14" s="251"/>
      <c r="E14" s="191"/>
    </row>
    <row r="15" spans="1:5" ht="21" customHeight="1" x14ac:dyDescent="0.15">
      <c r="A15" s="197">
        <v>3711</v>
      </c>
      <c r="B15" s="75" t="s">
        <v>252</v>
      </c>
      <c r="C15" s="94"/>
      <c r="D15" s="254"/>
      <c r="E15" s="191"/>
    </row>
    <row r="16" spans="1:5" ht="21" customHeight="1" x14ac:dyDescent="0.15">
      <c r="A16" s="197">
        <v>3712</v>
      </c>
      <c r="B16" s="75" t="s">
        <v>253</v>
      </c>
      <c r="C16" s="94"/>
      <c r="D16" s="254"/>
      <c r="E16" s="191"/>
    </row>
    <row r="17" spans="1:5" ht="21" customHeight="1" x14ac:dyDescent="0.15">
      <c r="A17" s="197">
        <v>3713</v>
      </c>
      <c r="B17" s="75" t="s">
        <v>254</v>
      </c>
      <c r="C17" s="94"/>
      <c r="D17" s="289"/>
      <c r="E17" s="191"/>
    </row>
    <row r="18" spans="1:5" ht="21" customHeight="1" x14ac:dyDescent="0.15">
      <c r="A18" s="197">
        <v>3713</v>
      </c>
      <c r="B18" s="75" t="s">
        <v>255</v>
      </c>
      <c r="C18" s="94"/>
      <c r="D18" s="254"/>
      <c r="E18" s="191"/>
    </row>
    <row r="19" spans="1:5" ht="21" customHeight="1" x14ac:dyDescent="0.15">
      <c r="A19" s="197">
        <v>3714</v>
      </c>
      <c r="B19" s="75" t="s">
        <v>205</v>
      </c>
      <c r="C19" s="94"/>
      <c r="D19" s="254"/>
      <c r="E19" s="191"/>
    </row>
    <row r="20" spans="1:5" ht="21" customHeight="1" x14ac:dyDescent="0.15">
      <c r="A20" s="197">
        <v>3715</v>
      </c>
      <c r="B20" s="75" t="s">
        <v>256</v>
      </c>
      <c r="C20" s="94"/>
      <c r="D20" s="254"/>
      <c r="E20" s="191"/>
    </row>
    <row r="21" spans="1:5" ht="21" customHeight="1" x14ac:dyDescent="0.15">
      <c r="A21" s="226">
        <v>372</v>
      </c>
      <c r="B21" s="224" t="s">
        <v>257</v>
      </c>
      <c r="C21" s="227"/>
      <c r="D21" s="251"/>
      <c r="E21" s="191"/>
    </row>
    <row r="22" spans="1:5" ht="21" customHeight="1" x14ac:dyDescent="0.15">
      <c r="A22" s="197">
        <v>3721</v>
      </c>
      <c r="B22" s="75" t="s">
        <v>258</v>
      </c>
      <c r="C22" s="94"/>
      <c r="D22" s="254"/>
      <c r="E22" s="191"/>
    </row>
    <row r="23" spans="1:5" ht="21" customHeight="1" x14ac:dyDescent="0.15">
      <c r="A23" s="197">
        <v>3722</v>
      </c>
      <c r="B23" s="75" t="s">
        <v>259</v>
      </c>
      <c r="C23" s="94"/>
      <c r="D23" s="254"/>
      <c r="E23" s="191"/>
    </row>
    <row r="24" spans="1:5" ht="21" customHeight="1" x14ac:dyDescent="0.15">
      <c r="A24" s="197">
        <v>3723</v>
      </c>
      <c r="B24" s="75" t="s">
        <v>260</v>
      </c>
      <c r="C24" s="94"/>
      <c r="D24" s="254"/>
      <c r="E24" s="191"/>
    </row>
    <row r="25" spans="1:5" ht="21" customHeight="1" x14ac:dyDescent="0.15">
      <c r="A25" s="197">
        <v>3724</v>
      </c>
      <c r="B25" s="75" t="s">
        <v>261</v>
      </c>
      <c r="C25" s="94"/>
      <c r="D25" s="254"/>
      <c r="E25" s="191"/>
    </row>
    <row r="26" spans="1:5" ht="21" customHeight="1" x14ac:dyDescent="0.15">
      <c r="A26" s="197">
        <v>3725</v>
      </c>
      <c r="B26" s="180"/>
      <c r="C26" s="94"/>
      <c r="D26" s="251"/>
      <c r="E26" s="188"/>
    </row>
    <row r="27" spans="1:5" ht="21" customHeight="1" x14ac:dyDescent="0.15">
      <c r="A27" s="197">
        <v>3726</v>
      </c>
      <c r="B27" s="180"/>
      <c r="C27" s="94"/>
      <c r="D27" s="254"/>
      <c r="E27" s="191"/>
    </row>
    <row r="28" spans="1:5" ht="21" customHeight="1" x14ac:dyDescent="0.15">
      <c r="A28" s="197">
        <v>3727</v>
      </c>
      <c r="B28" s="180"/>
      <c r="C28" s="94"/>
      <c r="D28" s="254"/>
      <c r="E28" s="191"/>
    </row>
    <row r="29" spans="1:5" ht="21" customHeight="1" x14ac:dyDescent="0.15">
      <c r="A29" s="197">
        <v>3728</v>
      </c>
      <c r="B29" s="180"/>
      <c r="C29" s="94"/>
      <c r="D29" s="254"/>
      <c r="E29" s="191"/>
    </row>
    <row r="30" spans="1:5" ht="30.75" x14ac:dyDescent="0.15">
      <c r="A30" s="290">
        <v>421</v>
      </c>
      <c r="B30" s="291" t="s">
        <v>262</v>
      </c>
      <c r="C30" s="292"/>
      <c r="D30" s="293"/>
      <c r="E30" s="191"/>
    </row>
    <row r="31" spans="1:5" ht="18" x14ac:dyDescent="0.15">
      <c r="A31" s="294">
        <v>412</v>
      </c>
      <c r="B31" s="295" t="s">
        <v>263</v>
      </c>
      <c r="C31" s="296"/>
      <c r="D31" s="297"/>
      <c r="E31" s="191"/>
    </row>
    <row r="32" spans="1:5" ht="21" customHeight="1" x14ac:dyDescent="0.15">
      <c r="A32" s="225">
        <v>4121</v>
      </c>
      <c r="B32" s="230" t="s">
        <v>244</v>
      </c>
      <c r="C32" s="94"/>
      <c r="D32" s="254"/>
      <c r="E32" s="191"/>
    </row>
    <row r="33" spans="1:5" ht="21" customHeight="1" x14ac:dyDescent="0.15">
      <c r="A33" s="196">
        <v>41211</v>
      </c>
      <c r="B33" s="75" t="s">
        <v>245</v>
      </c>
      <c r="C33" s="94"/>
      <c r="D33" s="254"/>
      <c r="E33" s="191"/>
    </row>
    <row r="34" spans="1:5" ht="21" customHeight="1" x14ac:dyDescent="0.15">
      <c r="A34" s="196">
        <v>41212</v>
      </c>
      <c r="B34" s="75" t="s">
        <v>246</v>
      </c>
      <c r="C34" s="94"/>
      <c r="D34" s="289"/>
      <c r="E34" s="191"/>
    </row>
    <row r="35" spans="1:5" ht="21" customHeight="1" thickBot="1" x14ac:dyDescent="0.2">
      <c r="A35" s="225">
        <v>4122</v>
      </c>
      <c r="B35" s="230" t="s">
        <v>247</v>
      </c>
      <c r="C35" s="181"/>
      <c r="D35" s="256"/>
      <c r="E35" s="193"/>
    </row>
    <row r="36" spans="1:5" ht="33" customHeight="1" x14ac:dyDescent="0.15">
      <c r="A36" s="565" t="s">
        <v>321</v>
      </c>
      <c r="B36" s="565"/>
      <c r="C36" s="565"/>
      <c r="D36" s="565"/>
      <c r="E36" s="565"/>
    </row>
    <row r="37" spans="1:5" ht="18.75" thickBot="1" x14ac:dyDescent="0.2">
      <c r="A37" s="583" t="s">
        <v>264</v>
      </c>
      <c r="B37" s="583"/>
      <c r="C37" s="583"/>
      <c r="D37" s="583"/>
      <c r="E37" s="583"/>
    </row>
    <row r="38" spans="1:5" ht="21" customHeight="1" x14ac:dyDescent="0.15">
      <c r="A38" s="585" t="s">
        <v>1</v>
      </c>
      <c r="B38" s="586" t="s">
        <v>2</v>
      </c>
      <c r="C38" s="588" t="s">
        <v>3</v>
      </c>
      <c r="D38" s="590" t="s">
        <v>4</v>
      </c>
      <c r="E38" s="591"/>
    </row>
    <row r="39" spans="1:5" ht="21" customHeight="1" x14ac:dyDescent="0.15">
      <c r="A39" s="555"/>
      <c r="B39" s="587"/>
      <c r="C39" s="589"/>
      <c r="D39" s="257" t="s">
        <v>70</v>
      </c>
      <c r="E39" s="11" t="s">
        <v>71</v>
      </c>
    </row>
    <row r="40" spans="1:5" ht="21" customHeight="1" x14ac:dyDescent="0.15">
      <c r="A40" s="198">
        <v>4123</v>
      </c>
      <c r="B40" s="75" t="s">
        <v>265</v>
      </c>
      <c r="C40" s="94"/>
      <c r="D40" s="254"/>
      <c r="E40" s="191"/>
    </row>
    <row r="41" spans="1:5" ht="21" customHeight="1" x14ac:dyDescent="0.15">
      <c r="A41" s="195">
        <v>4124</v>
      </c>
      <c r="B41" s="75" t="s">
        <v>266</v>
      </c>
      <c r="C41" s="94"/>
      <c r="D41" s="254"/>
      <c r="E41" s="191"/>
    </row>
    <row r="42" spans="1:5" ht="21" customHeight="1" x14ac:dyDescent="0.15">
      <c r="A42" s="225">
        <v>4125</v>
      </c>
      <c r="B42" s="230" t="s">
        <v>267</v>
      </c>
      <c r="C42" s="94"/>
      <c r="D42" s="251"/>
      <c r="E42" s="188"/>
    </row>
    <row r="43" spans="1:5" ht="21" customHeight="1" x14ac:dyDescent="0.15">
      <c r="A43" s="195">
        <v>4126</v>
      </c>
      <c r="B43" s="83" t="s">
        <v>268</v>
      </c>
      <c r="C43" s="94"/>
      <c r="D43" s="255"/>
      <c r="E43" s="192"/>
    </row>
    <row r="44" spans="1:5" ht="21" customHeight="1" x14ac:dyDescent="0.15">
      <c r="A44" s="195">
        <v>4127</v>
      </c>
      <c r="B44" s="180"/>
      <c r="C44" s="94"/>
      <c r="D44" s="251"/>
      <c r="E44" s="188"/>
    </row>
    <row r="45" spans="1:5" ht="21" customHeight="1" x14ac:dyDescent="0.15">
      <c r="A45" s="195">
        <v>4128</v>
      </c>
      <c r="B45" s="180"/>
      <c r="C45" s="94"/>
      <c r="D45" s="251"/>
      <c r="E45" s="188"/>
    </row>
    <row r="46" spans="1:5" ht="18" x14ac:dyDescent="0.15">
      <c r="A46" s="195">
        <v>373</v>
      </c>
      <c r="B46" s="83" t="s">
        <v>527</v>
      </c>
      <c r="C46" s="94"/>
      <c r="D46" s="251"/>
      <c r="E46" s="188"/>
    </row>
    <row r="47" spans="1:5" ht="21" customHeight="1" x14ac:dyDescent="0.15">
      <c r="A47" s="195">
        <v>374</v>
      </c>
      <c r="B47" s="83" t="s">
        <v>269</v>
      </c>
      <c r="C47" s="94"/>
      <c r="D47" s="251"/>
      <c r="E47" s="191"/>
    </row>
    <row r="48" spans="1:5" ht="21" customHeight="1" x14ac:dyDescent="0.15">
      <c r="A48" s="197">
        <v>3741</v>
      </c>
      <c r="B48" s="75" t="s">
        <v>258</v>
      </c>
      <c r="C48" s="94"/>
      <c r="D48" s="254"/>
      <c r="E48" s="191"/>
    </row>
    <row r="49" spans="1:5" ht="21" customHeight="1" x14ac:dyDescent="0.15">
      <c r="A49" s="197">
        <v>3742</v>
      </c>
      <c r="B49" s="75" t="s">
        <v>259</v>
      </c>
      <c r="C49" s="94"/>
      <c r="D49" s="254"/>
      <c r="E49" s="191"/>
    </row>
    <row r="50" spans="1:5" ht="21" customHeight="1" x14ac:dyDescent="0.15">
      <c r="A50" s="197">
        <v>3743</v>
      </c>
      <c r="B50" s="75" t="s">
        <v>260</v>
      </c>
      <c r="C50" s="94"/>
      <c r="D50" s="254"/>
      <c r="E50" s="191"/>
    </row>
    <row r="51" spans="1:5" ht="21" customHeight="1" x14ac:dyDescent="0.15">
      <c r="A51" s="197">
        <v>3744</v>
      </c>
      <c r="B51" s="75" t="s">
        <v>261</v>
      </c>
      <c r="C51" s="94"/>
      <c r="D51" s="254"/>
      <c r="E51" s="191"/>
    </row>
    <row r="52" spans="1:5" ht="21" customHeight="1" x14ac:dyDescent="0.15">
      <c r="A52" s="197">
        <v>3745</v>
      </c>
      <c r="B52" s="180"/>
      <c r="C52" s="94"/>
      <c r="D52" s="254"/>
      <c r="E52" s="191"/>
    </row>
    <row r="53" spans="1:5" ht="21" customHeight="1" x14ac:dyDescent="0.15">
      <c r="A53" s="197">
        <v>3746</v>
      </c>
      <c r="B53" s="180"/>
      <c r="C53" s="94"/>
      <c r="D53" s="254"/>
      <c r="E53" s="191"/>
    </row>
    <row r="54" spans="1:5" ht="21" customHeight="1" x14ac:dyDescent="0.15">
      <c r="A54" s="197">
        <v>3747</v>
      </c>
      <c r="B54" s="180"/>
      <c r="C54" s="94"/>
      <c r="D54" s="254"/>
      <c r="E54" s="191"/>
    </row>
    <row r="55" spans="1:5" ht="21" customHeight="1" x14ac:dyDescent="0.15">
      <c r="A55" s="197">
        <v>3748</v>
      </c>
      <c r="B55" s="180"/>
      <c r="C55" s="94"/>
      <c r="D55" s="254"/>
      <c r="E55" s="191"/>
    </row>
    <row r="56" spans="1:5" ht="28.5" x14ac:dyDescent="0.15">
      <c r="A56" s="226">
        <v>422</v>
      </c>
      <c r="B56" s="224" t="s">
        <v>270</v>
      </c>
      <c r="C56" s="227"/>
      <c r="D56" s="251"/>
      <c r="E56" s="191"/>
    </row>
    <row r="57" spans="1:5" ht="14.25" x14ac:dyDescent="0.15">
      <c r="A57" s="226">
        <v>413</v>
      </c>
      <c r="B57" s="224" t="s">
        <v>271</v>
      </c>
      <c r="C57" s="227"/>
      <c r="D57" s="254"/>
      <c r="E57" s="191"/>
    </row>
    <row r="58" spans="1:5" ht="21" customHeight="1" x14ac:dyDescent="0.15">
      <c r="A58" s="195">
        <v>375</v>
      </c>
      <c r="B58" s="108" t="s">
        <v>272</v>
      </c>
      <c r="C58" s="94"/>
      <c r="D58" s="254"/>
      <c r="E58" s="191"/>
    </row>
    <row r="59" spans="1:5" ht="30.6" customHeight="1" x14ac:dyDescent="0.15">
      <c r="A59" s="226">
        <v>423</v>
      </c>
      <c r="B59" s="224" t="s">
        <v>273</v>
      </c>
      <c r="C59" s="227"/>
      <c r="D59" s="254"/>
      <c r="E59" s="191"/>
    </row>
    <row r="60" spans="1:5" ht="30.6" customHeight="1" x14ac:dyDescent="0.15">
      <c r="A60" s="226">
        <v>41</v>
      </c>
      <c r="B60" s="224" t="s">
        <v>526</v>
      </c>
      <c r="C60" s="227"/>
      <c r="D60" s="261"/>
      <c r="E60" s="191"/>
    </row>
    <row r="61" spans="1:5" ht="30.6" customHeight="1" x14ac:dyDescent="0.15">
      <c r="A61" s="226">
        <v>37</v>
      </c>
      <c r="B61" s="224" t="s">
        <v>274</v>
      </c>
      <c r="C61" s="227"/>
      <c r="D61" s="262"/>
      <c r="E61" s="191"/>
    </row>
    <row r="62" spans="1:5" ht="30.6" customHeight="1" x14ac:dyDescent="0.15">
      <c r="A62" s="226">
        <v>42</v>
      </c>
      <c r="B62" s="224" t="s">
        <v>275</v>
      </c>
      <c r="C62" s="227"/>
      <c r="D62" s="263"/>
      <c r="E62" s="188"/>
    </row>
    <row r="63" spans="1:5" ht="21" customHeight="1" x14ac:dyDescent="0.15">
      <c r="A63" s="226">
        <v>43</v>
      </c>
      <c r="B63" s="224" t="s">
        <v>276</v>
      </c>
      <c r="C63" s="227"/>
      <c r="D63" s="254"/>
      <c r="E63" s="191"/>
    </row>
    <row r="64" spans="1:5" ht="21" customHeight="1" x14ac:dyDescent="0.15">
      <c r="A64" s="197">
        <v>431</v>
      </c>
      <c r="B64" s="75" t="s">
        <v>277</v>
      </c>
      <c r="C64" s="94"/>
      <c r="D64" s="254"/>
      <c r="E64" s="191"/>
    </row>
    <row r="65" spans="1:5" ht="21" customHeight="1" x14ac:dyDescent="0.15">
      <c r="A65" s="197">
        <v>432</v>
      </c>
      <c r="B65" s="75" t="s">
        <v>278</v>
      </c>
      <c r="C65" s="94"/>
      <c r="D65" s="254"/>
      <c r="E65" s="191"/>
    </row>
    <row r="66" spans="1:5" ht="21" customHeight="1" x14ac:dyDescent="0.15">
      <c r="A66" s="197">
        <v>433</v>
      </c>
      <c r="B66" s="75" t="s">
        <v>279</v>
      </c>
      <c r="C66" s="94"/>
      <c r="D66" s="254"/>
      <c r="E66" s="191"/>
    </row>
    <row r="67" spans="1:5" ht="21" customHeight="1" x14ac:dyDescent="0.15">
      <c r="A67" s="197">
        <v>434</v>
      </c>
      <c r="B67" s="75" t="s">
        <v>280</v>
      </c>
      <c r="C67" s="94"/>
      <c r="D67" s="254"/>
      <c r="E67" s="191"/>
    </row>
    <row r="68" spans="1:5" ht="21" customHeight="1" x14ac:dyDescent="0.15">
      <c r="A68" s="197">
        <v>435</v>
      </c>
      <c r="B68" s="75" t="s">
        <v>281</v>
      </c>
      <c r="C68" s="94"/>
      <c r="D68" s="254"/>
      <c r="E68" s="191"/>
    </row>
    <row r="69" spans="1:5" ht="21" customHeight="1" thickBot="1" x14ac:dyDescent="0.2">
      <c r="A69" s="199">
        <v>436</v>
      </c>
      <c r="B69" s="19" t="s">
        <v>282</v>
      </c>
      <c r="C69" s="181"/>
      <c r="D69" s="256"/>
      <c r="E69" s="193"/>
    </row>
    <row r="70" spans="1:5" ht="21.75" customHeight="1" x14ac:dyDescent="0.15">
      <c r="A70" s="630" t="s">
        <v>528</v>
      </c>
      <c r="B70" s="630"/>
      <c r="C70" s="630"/>
      <c r="D70" s="630"/>
      <c r="E70" s="630"/>
    </row>
    <row r="71" spans="1:5" ht="33" customHeight="1" x14ac:dyDescent="0.15">
      <c r="A71" s="565" t="s">
        <v>322</v>
      </c>
      <c r="B71" s="565"/>
      <c r="C71" s="565"/>
      <c r="D71" s="565"/>
      <c r="E71" s="565"/>
    </row>
    <row r="72" spans="1:5" ht="18.75" thickBot="1" x14ac:dyDescent="0.2">
      <c r="A72" s="583" t="s">
        <v>264</v>
      </c>
      <c r="B72" s="583"/>
      <c r="C72" s="583"/>
      <c r="D72" s="583"/>
      <c r="E72" s="583"/>
    </row>
    <row r="73" spans="1:5" ht="21" customHeight="1" x14ac:dyDescent="0.15">
      <c r="A73" s="585" t="s">
        <v>1</v>
      </c>
      <c r="B73" s="586" t="s">
        <v>2</v>
      </c>
      <c r="C73" s="588" t="s">
        <v>3</v>
      </c>
      <c r="D73" s="590" t="s">
        <v>4</v>
      </c>
      <c r="E73" s="591"/>
    </row>
    <row r="74" spans="1:5" ht="21" customHeight="1" x14ac:dyDescent="0.15">
      <c r="A74" s="555"/>
      <c r="B74" s="587"/>
      <c r="C74" s="589"/>
      <c r="D74" s="257" t="s">
        <v>70</v>
      </c>
      <c r="E74" s="11" t="s">
        <v>71</v>
      </c>
    </row>
    <row r="75" spans="1:5" ht="21" customHeight="1" x14ac:dyDescent="0.15">
      <c r="A75" s="225">
        <v>437</v>
      </c>
      <c r="B75" s="230" t="s">
        <v>283</v>
      </c>
      <c r="C75" s="94"/>
      <c r="D75" s="254"/>
      <c r="E75" s="191"/>
    </row>
    <row r="76" spans="1:5" ht="21" customHeight="1" x14ac:dyDescent="0.15">
      <c r="A76" s="197">
        <v>4371</v>
      </c>
      <c r="B76" s="75" t="s">
        <v>284</v>
      </c>
      <c r="C76" s="94"/>
      <c r="D76" s="254"/>
      <c r="E76" s="191"/>
    </row>
    <row r="77" spans="1:5" ht="21" customHeight="1" x14ac:dyDescent="0.15">
      <c r="A77" s="197">
        <v>4372</v>
      </c>
      <c r="B77" s="180"/>
      <c r="C77" s="94"/>
      <c r="D77" s="254"/>
      <c r="E77" s="191"/>
    </row>
    <row r="78" spans="1:5" ht="21" customHeight="1" x14ac:dyDescent="0.15">
      <c r="A78" s="197">
        <v>4373</v>
      </c>
      <c r="B78" s="180"/>
      <c r="C78" s="94"/>
      <c r="D78" s="254"/>
      <c r="E78" s="191"/>
    </row>
    <row r="79" spans="1:5" ht="21" customHeight="1" x14ac:dyDescent="0.15">
      <c r="A79" s="197">
        <v>4374</v>
      </c>
      <c r="B79" s="180"/>
      <c r="C79" s="94"/>
      <c r="D79" s="254"/>
      <c r="E79" s="191"/>
    </row>
    <row r="80" spans="1:5" ht="21" customHeight="1" x14ac:dyDescent="0.15">
      <c r="A80" s="225">
        <v>438</v>
      </c>
      <c r="B80" s="230" t="s">
        <v>285</v>
      </c>
      <c r="C80" s="94"/>
      <c r="D80" s="251"/>
      <c r="E80" s="188"/>
    </row>
    <row r="81" spans="1:5" ht="21" customHeight="1" x14ac:dyDescent="0.15">
      <c r="A81" s="197">
        <v>4381</v>
      </c>
      <c r="B81" s="75" t="s">
        <v>286</v>
      </c>
      <c r="C81" s="94"/>
      <c r="D81" s="255"/>
      <c r="E81" s="192"/>
    </row>
    <row r="82" spans="1:5" ht="21" customHeight="1" x14ac:dyDescent="0.15">
      <c r="A82" s="197">
        <v>4382</v>
      </c>
      <c r="B82" s="180"/>
      <c r="C82" s="94"/>
      <c r="D82" s="251"/>
      <c r="E82" s="188"/>
    </row>
    <row r="83" spans="1:5" ht="21" customHeight="1" x14ac:dyDescent="0.15">
      <c r="A83" s="197">
        <v>4383</v>
      </c>
      <c r="B83" s="180"/>
      <c r="C83" s="94"/>
      <c r="D83" s="251"/>
      <c r="E83" s="188"/>
    </row>
    <row r="84" spans="1:5" ht="21" customHeight="1" x14ac:dyDescent="0.15">
      <c r="A84" s="195">
        <v>38</v>
      </c>
      <c r="B84" s="108" t="s">
        <v>287</v>
      </c>
      <c r="C84" s="94"/>
      <c r="D84" s="251"/>
      <c r="E84" s="188"/>
    </row>
    <row r="85" spans="1:5" ht="14.25" x14ac:dyDescent="0.15">
      <c r="A85" s="225">
        <v>381</v>
      </c>
      <c r="B85" s="230" t="s">
        <v>529</v>
      </c>
      <c r="C85" s="94"/>
      <c r="D85" s="254"/>
      <c r="E85" s="191"/>
    </row>
    <row r="86" spans="1:5" ht="14.25" x14ac:dyDescent="0.15">
      <c r="A86" s="225">
        <v>382</v>
      </c>
      <c r="B86" s="230" t="s">
        <v>288</v>
      </c>
      <c r="C86" s="94"/>
      <c r="D86" s="254"/>
      <c r="E86" s="191"/>
    </row>
    <row r="87" spans="1:5" ht="21" customHeight="1" x14ac:dyDescent="0.15">
      <c r="A87" s="197">
        <v>3821</v>
      </c>
      <c r="B87" s="109" t="s">
        <v>217</v>
      </c>
      <c r="C87" s="94"/>
      <c r="D87" s="254"/>
      <c r="E87" s="191"/>
    </row>
    <row r="88" spans="1:5" ht="21" customHeight="1" x14ac:dyDescent="0.15">
      <c r="A88" s="197">
        <v>3822</v>
      </c>
      <c r="B88" s="109" t="s">
        <v>289</v>
      </c>
      <c r="C88" s="94"/>
      <c r="D88" s="254"/>
      <c r="E88" s="191"/>
    </row>
    <row r="89" spans="1:5" ht="21" customHeight="1" x14ac:dyDescent="0.15">
      <c r="A89" s="226">
        <v>383</v>
      </c>
      <c r="B89" s="224" t="s">
        <v>211</v>
      </c>
      <c r="C89" s="226"/>
      <c r="D89" s="254"/>
      <c r="E89" s="191"/>
    </row>
    <row r="90" spans="1:5" ht="21" customHeight="1" x14ac:dyDescent="0.15">
      <c r="A90" s="197">
        <v>3831</v>
      </c>
      <c r="B90" s="109" t="s">
        <v>212</v>
      </c>
      <c r="C90" s="94"/>
      <c r="D90" s="254"/>
      <c r="E90" s="191"/>
    </row>
    <row r="91" spans="1:5" ht="21" customHeight="1" x14ac:dyDescent="0.15">
      <c r="A91" s="197">
        <v>3832</v>
      </c>
      <c r="B91" s="109" t="s">
        <v>290</v>
      </c>
      <c r="C91" s="94"/>
      <c r="D91" s="254"/>
      <c r="E91" s="191"/>
    </row>
    <row r="92" spans="1:5" ht="30.6" customHeight="1" x14ac:dyDescent="0.15">
      <c r="A92" s="226">
        <v>384</v>
      </c>
      <c r="B92" s="224" t="s">
        <v>214</v>
      </c>
      <c r="C92" s="226"/>
      <c r="D92" s="254"/>
      <c r="E92" s="191"/>
    </row>
    <row r="93" spans="1:5" ht="21" customHeight="1" x14ac:dyDescent="0.15">
      <c r="A93" s="226">
        <v>385</v>
      </c>
      <c r="B93" s="224" t="s">
        <v>291</v>
      </c>
      <c r="C93" s="226"/>
      <c r="D93" s="254"/>
      <c r="E93" s="191"/>
    </row>
    <row r="94" spans="1:5" ht="21" customHeight="1" x14ac:dyDescent="0.15">
      <c r="A94" s="197">
        <v>3851</v>
      </c>
      <c r="B94" s="109" t="s">
        <v>292</v>
      </c>
      <c r="C94" s="94"/>
      <c r="D94" s="254"/>
      <c r="E94" s="191"/>
    </row>
    <row r="95" spans="1:5" ht="21" customHeight="1" x14ac:dyDescent="0.15">
      <c r="A95" s="197">
        <v>3852</v>
      </c>
      <c r="B95" s="109" t="s">
        <v>293</v>
      </c>
      <c r="C95" s="94"/>
      <c r="D95" s="254"/>
      <c r="E95" s="191"/>
    </row>
    <row r="96" spans="1:5" ht="21" customHeight="1" x14ac:dyDescent="0.15">
      <c r="A96" s="197">
        <v>3853</v>
      </c>
      <c r="B96" s="109" t="s">
        <v>294</v>
      </c>
      <c r="C96" s="94"/>
      <c r="D96" s="254"/>
      <c r="E96" s="191"/>
    </row>
    <row r="97" spans="1:5" ht="21" customHeight="1" x14ac:dyDescent="0.15">
      <c r="A97" s="197">
        <v>3854</v>
      </c>
      <c r="B97" s="109" t="s">
        <v>295</v>
      </c>
      <c r="C97" s="94"/>
      <c r="D97" s="254"/>
      <c r="E97" s="191"/>
    </row>
    <row r="98" spans="1:5" ht="21" customHeight="1" x14ac:dyDescent="0.15">
      <c r="A98" s="197">
        <v>3855</v>
      </c>
      <c r="B98" s="109" t="s">
        <v>296</v>
      </c>
      <c r="C98" s="94"/>
      <c r="D98" s="254"/>
      <c r="E98" s="191"/>
    </row>
    <row r="99" spans="1:5" ht="21" customHeight="1" x14ac:dyDescent="0.15">
      <c r="A99" s="197">
        <v>3856</v>
      </c>
      <c r="B99" s="75" t="s">
        <v>297</v>
      </c>
      <c r="C99" s="94"/>
      <c r="D99" s="254"/>
      <c r="E99" s="191"/>
    </row>
    <row r="100" spans="1:5" ht="21" customHeight="1" x14ac:dyDescent="0.15">
      <c r="A100" s="197">
        <v>3857</v>
      </c>
      <c r="B100" s="75" t="s">
        <v>298</v>
      </c>
      <c r="C100" s="94"/>
      <c r="D100" s="254"/>
      <c r="E100" s="191"/>
    </row>
    <row r="101" spans="1:5" ht="21" customHeight="1" x14ac:dyDescent="0.15">
      <c r="A101" s="200">
        <v>3858</v>
      </c>
      <c r="B101" s="180"/>
      <c r="C101" s="94"/>
      <c r="D101" s="254"/>
      <c r="E101" s="191"/>
    </row>
    <row r="102" spans="1:5" ht="21" customHeight="1" x14ac:dyDescent="0.15">
      <c r="A102" s="197">
        <v>3859</v>
      </c>
      <c r="B102" s="180"/>
      <c r="C102" s="94"/>
      <c r="D102" s="254"/>
      <c r="E102" s="191"/>
    </row>
    <row r="103" spans="1:5" ht="18" x14ac:dyDescent="0.15">
      <c r="A103" s="226">
        <v>386</v>
      </c>
      <c r="B103" s="224" t="s">
        <v>299</v>
      </c>
      <c r="C103" s="226"/>
      <c r="D103" s="251"/>
      <c r="E103" s="188"/>
    </row>
    <row r="104" spans="1:5" ht="21" customHeight="1" x14ac:dyDescent="0.15">
      <c r="A104" s="197">
        <v>3861</v>
      </c>
      <c r="B104" s="109" t="s">
        <v>300</v>
      </c>
      <c r="C104" s="94"/>
      <c r="D104" s="254"/>
      <c r="E104" s="191"/>
    </row>
    <row r="105" spans="1:5" ht="26.25" customHeight="1" x14ac:dyDescent="0.15">
      <c r="A105" s="197">
        <v>3862</v>
      </c>
      <c r="B105" s="109" t="s">
        <v>301</v>
      </c>
      <c r="C105" s="94"/>
      <c r="D105" s="254"/>
      <c r="E105" s="191"/>
    </row>
    <row r="106" spans="1:5" ht="21" customHeight="1" x14ac:dyDescent="0.15">
      <c r="A106" s="197">
        <v>3863</v>
      </c>
      <c r="B106" s="109" t="s">
        <v>302</v>
      </c>
      <c r="C106" s="94"/>
      <c r="D106" s="254"/>
      <c r="E106" s="191"/>
    </row>
    <row r="107" spans="1:5" ht="21" customHeight="1" thickBot="1" x14ac:dyDescent="0.2">
      <c r="A107" s="199">
        <v>3864</v>
      </c>
      <c r="B107" s="110" t="s">
        <v>303</v>
      </c>
      <c r="C107" s="181"/>
      <c r="D107" s="256"/>
      <c r="E107" s="193"/>
    </row>
    <row r="108" spans="1:5" ht="18" customHeight="1" x14ac:dyDescent="0.15">
      <c r="A108" s="629" t="s">
        <v>530</v>
      </c>
      <c r="B108" s="629"/>
      <c r="C108" s="629"/>
      <c r="D108" s="629"/>
      <c r="E108" s="629"/>
    </row>
    <row r="109" spans="1:5" ht="18" customHeight="1" x14ac:dyDescent="0.15">
      <c r="A109" s="609" t="s">
        <v>543</v>
      </c>
      <c r="B109" s="609"/>
      <c r="C109" s="609"/>
      <c r="D109" s="609"/>
      <c r="E109" s="609"/>
    </row>
    <row r="110" spans="1:5" ht="24.75" customHeight="1" x14ac:dyDescent="0.15">
      <c r="A110" s="565" t="s">
        <v>323</v>
      </c>
      <c r="B110" s="565"/>
      <c r="C110" s="565"/>
      <c r="D110" s="565"/>
      <c r="E110" s="565"/>
    </row>
    <row r="111" spans="1:5" ht="18.75" thickBot="1" x14ac:dyDescent="0.2">
      <c r="A111" s="583" t="s">
        <v>264</v>
      </c>
      <c r="B111" s="583"/>
      <c r="C111" s="583"/>
      <c r="D111" s="583"/>
      <c r="E111" s="583"/>
    </row>
    <row r="112" spans="1:5" ht="21" customHeight="1" x14ac:dyDescent="0.15">
      <c r="A112" s="585" t="s">
        <v>1</v>
      </c>
      <c r="B112" s="586" t="s">
        <v>2</v>
      </c>
      <c r="C112" s="588" t="s">
        <v>3</v>
      </c>
      <c r="D112" s="590" t="s">
        <v>4</v>
      </c>
      <c r="E112" s="591"/>
    </row>
    <row r="113" spans="1:5" ht="21" customHeight="1" x14ac:dyDescent="0.15">
      <c r="A113" s="555"/>
      <c r="B113" s="587"/>
      <c r="C113" s="589"/>
      <c r="D113" s="257" t="s">
        <v>70</v>
      </c>
      <c r="E113" s="11" t="s">
        <v>71</v>
      </c>
    </row>
    <row r="114" spans="1:5" ht="21" customHeight="1" x14ac:dyDescent="0.15">
      <c r="A114" s="197">
        <v>3865</v>
      </c>
      <c r="B114" s="109" t="s">
        <v>304</v>
      </c>
      <c r="C114" s="94"/>
      <c r="D114" s="254"/>
      <c r="E114" s="191"/>
    </row>
    <row r="115" spans="1:5" ht="21" customHeight="1" x14ac:dyDescent="0.15">
      <c r="A115" s="197">
        <v>3866</v>
      </c>
      <c r="B115" s="75" t="s">
        <v>305</v>
      </c>
      <c r="C115" s="94"/>
      <c r="D115" s="254"/>
      <c r="E115" s="191"/>
    </row>
    <row r="116" spans="1:5" ht="21" customHeight="1" x14ac:dyDescent="0.15">
      <c r="A116" s="195">
        <v>387</v>
      </c>
      <c r="B116" s="83" t="s">
        <v>306</v>
      </c>
      <c r="C116" s="94"/>
      <c r="D116" s="254"/>
      <c r="E116" s="191"/>
    </row>
    <row r="117" spans="1:5" ht="21" customHeight="1" x14ac:dyDescent="0.15">
      <c r="A117" s="195">
        <v>388</v>
      </c>
      <c r="B117" s="83" t="s">
        <v>307</v>
      </c>
      <c r="C117" s="94"/>
      <c r="D117" s="254"/>
      <c r="E117" s="191"/>
    </row>
    <row r="118" spans="1:5" ht="21" customHeight="1" x14ac:dyDescent="0.15">
      <c r="A118" s="197">
        <v>3881</v>
      </c>
      <c r="B118" s="180"/>
      <c r="C118" s="94"/>
      <c r="D118" s="254"/>
      <c r="E118" s="191"/>
    </row>
    <row r="119" spans="1:5" ht="21" customHeight="1" x14ac:dyDescent="0.15">
      <c r="A119" s="197">
        <v>3882</v>
      </c>
      <c r="B119" s="180"/>
      <c r="C119" s="94"/>
      <c r="D119" s="254"/>
      <c r="E119" s="191"/>
    </row>
    <row r="120" spans="1:5" ht="21" customHeight="1" x14ac:dyDescent="0.15">
      <c r="A120" s="197">
        <v>3883</v>
      </c>
      <c r="B120" s="180"/>
      <c r="C120" s="94"/>
      <c r="D120" s="254"/>
      <c r="E120" s="191"/>
    </row>
    <row r="121" spans="1:5" ht="21" customHeight="1" x14ac:dyDescent="0.15">
      <c r="A121" s="197">
        <v>3884</v>
      </c>
      <c r="B121" s="180"/>
      <c r="C121" s="94"/>
      <c r="D121" s="254"/>
      <c r="E121" s="191"/>
    </row>
    <row r="122" spans="1:5" ht="28.5" x14ac:dyDescent="0.15">
      <c r="A122" s="226">
        <v>44</v>
      </c>
      <c r="B122" s="224" t="s">
        <v>308</v>
      </c>
      <c r="C122" s="226"/>
      <c r="D122" s="264"/>
      <c r="E122" s="191"/>
    </row>
    <row r="123" spans="1:5" ht="18" x14ac:dyDescent="0.15">
      <c r="A123" s="226">
        <v>45</v>
      </c>
      <c r="B123" s="224" t="s">
        <v>309</v>
      </c>
      <c r="C123" s="226"/>
      <c r="D123" s="251"/>
      <c r="E123" s="188"/>
    </row>
    <row r="124" spans="1:5" ht="21" customHeight="1" x14ac:dyDescent="0.15">
      <c r="A124" s="197">
        <v>451</v>
      </c>
      <c r="B124" s="75" t="s">
        <v>310</v>
      </c>
      <c r="C124" s="94"/>
      <c r="D124" s="255"/>
      <c r="E124" s="192"/>
    </row>
    <row r="125" spans="1:5" ht="30.6" customHeight="1" x14ac:dyDescent="0.15">
      <c r="A125" s="197">
        <v>452</v>
      </c>
      <c r="B125" s="75" t="s">
        <v>319</v>
      </c>
      <c r="C125" s="94"/>
      <c r="D125" s="251"/>
      <c r="E125" s="188"/>
    </row>
    <row r="126" spans="1:5" ht="21" customHeight="1" x14ac:dyDescent="0.15">
      <c r="A126" s="197">
        <v>453</v>
      </c>
      <c r="B126" s="75" t="s">
        <v>311</v>
      </c>
      <c r="C126" s="94"/>
      <c r="D126" s="251"/>
      <c r="E126" s="188"/>
    </row>
    <row r="127" spans="1:5" ht="21" customHeight="1" x14ac:dyDescent="0.15">
      <c r="A127" s="197">
        <v>454</v>
      </c>
      <c r="B127" s="75" t="s">
        <v>312</v>
      </c>
      <c r="C127" s="94"/>
      <c r="D127" s="251"/>
      <c r="E127" s="188"/>
    </row>
    <row r="128" spans="1:5" ht="21" customHeight="1" x14ac:dyDescent="0.15">
      <c r="A128" s="197">
        <v>455</v>
      </c>
      <c r="B128" s="75" t="s">
        <v>313</v>
      </c>
      <c r="C128" s="94"/>
      <c r="D128" s="254"/>
      <c r="E128" s="191"/>
    </row>
    <row r="129" spans="1:5" ht="21" customHeight="1" x14ac:dyDescent="0.15">
      <c r="A129" s="197">
        <v>456</v>
      </c>
      <c r="B129" s="180"/>
      <c r="C129" s="94"/>
      <c r="D129" s="254"/>
      <c r="E129" s="191"/>
    </row>
    <row r="130" spans="1:5" ht="21" customHeight="1" x14ac:dyDescent="0.15">
      <c r="A130" s="197">
        <v>457</v>
      </c>
      <c r="B130" s="180"/>
      <c r="C130" s="94"/>
      <c r="D130" s="254"/>
      <c r="E130" s="191"/>
    </row>
    <row r="131" spans="1:5" ht="21" customHeight="1" x14ac:dyDescent="0.15">
      <c r="A131" s="197">
        <v>458</v>
      </c>
      <c r="B131" s="180"/>
      <c r="C131" s="94"/>
      <c r="D131" s="254"/>
      <c r="E131" s="191"/>
    </row>
    <row r="132" spans="1:5" ht="21" customHeight="1" x14ac:dyDescent="0.15">
      <c r="A132" s="197">
        <v>459</v>
      </c>
      <c r="B132" s="180"/>
      <c r="C132" s="94"/>
      <c r="D132" s="254"/>
      <c r="E132" s="191"/>
    </row>
    <row r="133" spans="1:5" ht="18" x14ac:dyDescent="0.15">
      <c r="A133" s="226">
        <v>39</v>
      </c>
      <c r="B133" s="224" t="s">
        <v>314</v>
      </c>
      <c r="C133" s="226"/>
      <c r="D133" s="251"/>
      <c r="E133" s="191"/>
    </row>
    <row r="134" spans="1:5" ht="21" customHeight="1" x14ac:dyDescent="0.15">
      <c r="A134" s="197">
        <v>391</v>
      </c>
      <c r="B134" s="75" t="s">
        <v>315</v>
      </c>
      <c r="C134" s="94"/>
      <c r="D134" s="254"/>
      <c r="E134" s="191"/>
    </row>
    <row r="135" spans="1:5" ht="30.6" customHeight="1" x14ac:dyDescent="0.15">
      <c r="A135" s="197">
        <v>392</v>
      </c>
      <c r="B135" s="75" t="s">
        <v>320</v>
      </c>
      <c r="C135" s="94"/>
      <c r="D135" s="254"/>
      <c r="E135" s="191"/>
    </row>
    <row r="136" spans="1:5" ht="21" customHeight="1" x14ac:dyDescent="0.15">
      <c r="A136" s="197">
        <v>393</v>
      </c>
      <c r="B136" s="75" t="s">
        <v>316</v>
      </c>
      <c r="C136" s="94"/>
      <c r="D136" s="254"/>
      <c r="E136" s="191"/>
    </row>
    <row r="137" spans="1:5" ht="21" customHeight="1" x14ac:dyDescent="0.15">
      <c r="A137" s="197">
        <v>394</v>
      </c>
      <c r="B137" s="75" t="s">
        <v>26</v>
      </c>
      <c r="C137" s="94"/>
      <c r="D137" s="254"/>
      <c r="E137" s="191"/>
    </row>
    <row r="138" spans="1:5" ht="21" customHeight="1" x14ac:dyDescent="0.15">
      <c r="A138" s="197">
        <v>395</v>
      </c>
      <c r="B138" s="180"/>
      <c r="C138" s="94"/>
      <c r="D138" s="254"/>
      <c r="E138" s="191"/>
    </row>
    <row r="139" spans="1:5" ht="21" customHeight="1" x14ac:dyDescent="0.15">
      <c r="A139" s="197">
        <v>396</v>
      </c>
      <c r="B139" s="180"/>
      <c r="C139" s="94"/>
      <c r="D139" s="254"/>
      <c r="E139" s="191"/>
    </row>
    <row r="140" spans="1:5" ht="21" customHeight="1" x14ac:dyDescent="0.15">
      <c r="A140" s="197">
        <v>397</v>
      </c>
      <c r="B140" s="180"/>
      <c r="C140" s="94"/>
      <c r="D140" s="254"/>
      <c r="E140" s="191"/>
    </row>
    <row r="141" spans="1:5" ht="21" customHeight="1" x14ac:dyDescent="0.15">
      <c r="A141" s="197">
        <v>398</v>
      </c>
      <c r="B141" s="180"/>
      <c r="C141" s="94"/>
      <c r="D141" s="254"/>
      <c r="E141" s="191"/>
    </row>
    <row r="142" spans="1:5" ht="18.95" customHeight="1" x14ac:dyDescent="0.15">
      <c r="A142" s="226">
        <v>2141</v>
      </c>
      <c r="B142" s="224" t="s">
        <v>317</v>
      </c>
      <c r="C142" s="226"/>
      <c r="D142" s="623"/>
      <c r="E142" s="631"/>
    </row>
    <row r="143" spans="1:5" ht="18.95" customHeight="1" thickBot="1" x14ac:dyDescent="0.2">
      <c r="A143" s="226"/>
      <c r="B143" s="224" t="s">
        <v>318</v>
      </c>
      <c r="C143" s="226"/>
      <c r="D143" s="624"/>
      <c r="E143" s="632"/>
    </row>
    <row r="144" spans="1:5" ht="18" customHeight="1" x14ac:dyDescent="0.15">
      <c r="A144" s="609" t="s">
        <v>543</v>
      </c>
      <c r="B144" s="609"/>
      <c r="C144" s="609"/>
      <c r="D144" s="609"/>
      <c r="E144" s="609"/>
    </row>
    <row r="145" spans="1:5" ht="33" customHeight="1" x14ac:dyDescent="0.15">
      <c r="A145" s="565" t="s">
        <v>324</v>
      </c>
      <c r="B145" s="565"/>
      <c r="C145" s="565"/>
      <c r="D145" s="565"/>
      <c r="E145" s="565"/>
    </row>
  </sheetData>
  <sheetProtection formatCells="0" formatColumns="0" formatRows="0"/>
  <protectedRanges>
    <protectedRange sqref="C4:E35 B12:B13 B26:B29 C40:E69 B52:B55 B44:B45 C75:E107 B77:B79 B82:B83 B101:B102 C114:E143 B118:B121 B129:B132 B138:B141" name="قائمة الدخل"/>
  </protectedRanges>
  <mergeCells count="30">
    <mergeCell ref="A110:E110"/>
    <mergeCell ref="A145:E145"/>
    <mergeCell ref="A36:E36"/>
    <mergeCell ref="A71:E71"/>
    <mergeCell ref="E142:E143"/>
    <mergeCell ref="D142:D143"/>
    <mergeCell ref="A111:E111"/>
    <mergeCell ref="A112:A113"/>
    <mergeCell ref="B112:B113"/>
    <mergeCell ref="C112:C113"/>
    <mergeCell ref="D112:E112"/>
    <mergeCell ref="A72:E72"/>
    <mergeCell ref="A73:A74"/>
    <mergeCell ref="B73:B74"/>
    <mergeCell ref="A109:E109"/>
    <mergeCell ref="A144:E144"/>
    <mergeCell ref="A108:E108"/>
    <mergeCell ref="A1:E1"/>
    <mergeCell ref="A2:A3"/>
    <mergeCell ref="B2:B3"/>
    <mergeCell ref="C2:C3"/>
    <mergeCell ref="D2:E2"/>
    <mergeCell ref="C73:C74"/>
    <mergeCell ref="D73:E73"/>
    <mergeCell ref="A37:E37"/>
    <mergeCell ref="A38:A39"/>
    <mergeCell ref="B38:B39"/>
    <mergeCell ref="C38:C39"/>
    <mergeCell ref="D38:E38"/>
    <mergeCell ref="A70:E70"/>
  </mergeCells>
  <printOptions horizontalCentered="1" verticalCentered="1"/>
  <pageMargins left="0" right="0" top="0" bottom="0" header="0" footer="0"/>
  <pageSetup paperSize="9" scale="99" orientation="portrait" r:id="rId1"/>
  <rowBreaks count="3" manualBreakCount="3">
    <brk id="36" max="16383" man="1"/>
    <brk id="71" max="16383" man="1"/>
    <brk id="110" max="16383"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M40"/>
  <sheetViews>
    <sheetView rightToLeft="1" topLeftCell="A34" workbookViewId="0">
      <selection activeCell="G8" sqref="G8"/>
    </sheetView>
  </sheetViews>
  <sheetFormatPr defaultRowHeight="13.5" x14ac:dyDescent="0.15"/>
  <cols>
    <col min="1" max="1" width="12.50390625" customWidth="1"/>
    <col min="2" max="2" width="12.01171875" customWidth="1"/>
    <col min="3" max="3" width="7.109375" customWidth="1"/>
    <col min="4" max="4" width="8.45703125" customWidth="1"/>
    <col min="5" max="5" width="11.3984375" customWidth="1"/>
    <col min="6" max="6" width="10.78515625" customWidth="1"/>
    <col min="7" max="8" width="10.54296875" customWidth="1"/>
    <col min="9" max="9" width="10.41796875" style="236" bestFit="1" customWidth="1"/>
    <col min="10" max="10" width="11.27734375" bestFit="1" customWidth="1"/>
    <col min="11" max="11" width="11.27734375" style="236" customWidth="1"/>
    <col min="12" max="12" width="6.00390625" customWidth="1"/>
    <col min="13" max="13" width="6.6171875" customWidth="1"/>
  </cols>
  <sheetData>
    <row r="1" spans="1:13" ht="18.75" thickBot="1" x14ac:dyDescent="0.25">
      <c r="A1" s="633" t="s">
        <v>325</v>
      </c>
      <c r="B1" s="633"/>
      <c r="C1" s="633"/>
      <c r="D1" s="633"/>
      <c r="E1" s="633"/>
      <c r="F1" s="633"/>
      <c r="G1" s="633"/>
      <c r="H1" s="633"/>
      <c r="I1" s="633"/>
      <c r="J1" s="633"/>
      <c r="K1" s="633"/>
      <c r="L1" s="633"/>
      <c r="M1" s="633"/>
    </row>
    <row r="2" spans="1:13" ht="25.5" customHeight="1" x14ac:dyDescent="0.15">
      <c r="A2" s="119" t="s">
        <v>1</v>
      </c>
      <c r="B2" s="120">
        <v>1</v>
      </c>
      <c r="C2" s="120">
        <v>2</v>
      </c>
      <c r="D2" s="120">
        <v>3</v>
      </c>
      <c r="E2" s="120">
        <v>4</v>
      </c>
      <c r="F2" s="120">
        <v>5</v>
      </c>
      <c r="G2" s="120">
        <v>6</v>
      </c>
      <c r="H2" s="120">
        <v>7</v>
      </c>
      <c r="I2" s="120">
        <v>8</v>
      </c>
      <c r="J2" s="120">
        <v>9</v>
      </c>
      <c r="K2" s="120">
        <v>10</v>
      </c>
      <c r="L2" s="120">
        <v>11</v>
      </c>
      <c r="M2" s="121">
        <v>12</v>
      </c>
    </row>
    <row r="3" spans="1:13" ht="40.700000000000003" customHeight="1" x14ac:dyDescent="0.15">
      <c r="A3" s="634" t="s">
        <v>64</v>
      </c>
      <c r="B3" s="635" t="s">
        <v>326</v>
      </c>
      <c r="C3" s="635" t="s">
        <v>327</v>
      </c>
      <c r="D3" s="635" t="s">
        <v>328</v>
      </c>
      <c r="E3" s="111" t="s">
        <v>329</v>
      </c>
      <c r="F3" s="635" t="s">
        <v>544</v>
      </c>
      <c r="G3" s="111" t="s">
        <v>330</v>
      </c>
      <c r="H3" s="111" t="s">
        <v>331</v>
      </c>
      <c r="I3" s="111" t="s">
        <v>332</v>
      </c>
      <c r="J3" s="111" t="s">
        <v>333</v>
      </c>
      <c r="K3" s="111" t="s">
        <v>334</v>
      </c>
      <c r="L3" s="635" t="s">
        <v>335</v>
      </c>
      <c r="M3" s="636" t="s">
        <v>336</v>
      </c>
    </row>
    <row r="4" spans="1:13" ht="25.5" customHeight="1" x14ac:dyDescent="0.15">
      <c r="A4" s="634"/>
      <c r="B4" s="635"/>
      <c r="C4" s="635"/>
      <c r="D4" s="635"/>
      <c r="E4" s="111" t="s">
        <v>337</v>
      </c>
      <c r="F4" s="635"/>
      <c r="G4" s="112" t="s">
        <v>338</v>
      </c>
      <c r="H4" s="111" t="s">
        <v>339</v>
      </c>
      <c r="I4" s="111" t="s">
        <v>340</v>
      </c>
      <c r="J4" s="111" t="s">
        <v>341</v>
      </c>
      <c r="K4" s="111" t="s">
        <v>342</v>
      </c>
      <c r="L4" s="635"/>
      <c r="M4" s="636"/>
    </row>
    <row r="5" spans="1:13" ht="21" customHeight="1" x14ac:dyDescent="0.15">
      <c r="A5" s="204"/>
      <c r="B5" s="238"/>
      <c r="C5" s="239"/>
      <c r="D5" s="239"/>
      <c r="E5" s="240"/>
      <c r="F5" s="239"/>
      <c r="G5" s="240"/>
      <c r="H5" s="240"/>
      <c r="I5" s="240"/>
      <c r="J5" s="240"/>
      <c r="K5" s="239"/>
      <c r="L5" s="117"/>
      <c r="M5" s="202"/>
    </row>
    <row r="6" spans="1:13" ht="21" customHeight="1" x14ac:dyDescent="0.15">
      <c r="A6" s="204"/>
      <c r="B6" s="238"/>
      <c r="C6" s="239"/>
      <c r="D6" s="239"/>
      <c r="E6" s="240"/>
      <c r="F6" s="239"/>
      <c r="G6" s="240"/>
      <c r="H6" s="240"/>
      <c r="I6" s="240"/>
      <c r="J6" s="240"/>
      <c r="K6" s="239"/>
      <c r="L6" s="117"/>
      <c r="M6" s="202"/>
    </row>
    <row r="7" spans="1:13" ht="21" customHeight="1" x14ac:dyDescent="0.15">
      <c r="A7" s="298"/>
      <c r="B7" s="299">
        <f>'قائمة المركز المالي'!D14</f>
        <v>0</v>
      </c>
      <c r="C7" s="300">
        <v>0</v>
      </c>
      <c r="D7" s="300">
        <v>0</v>
      </c>
      <c r="E7" s="301">
        <f t="shared" ref="E7:E16" si="0">B7+C7-D7</f>
        <v>0</v>
      </c>
      <c r="F7" s="300"/>
      <c r="G7" s="301">
        <f t="shared" ref="G7:G16" si="1">(B7-D7)*L7*M7</f>
        <v>0</v>
      </c>
      <c r="H7" s="301">
        <f t="shared" ref="H7:H8" si="2">C7*L7*M7</f>
        <v>0</v>
      </c>
      <c r="I7" s="301">
        <f t="shared" ref="I7:I8" si="3">G7+H7</f>
        <v>0</v>
      </c>
      <c r="J7" s="301">
        <f t="shared" ref="J7:J8" si="4">F7+I7</f>
        <v>0</v>
      </c>
      <c r="K7" s="300">
        <f t="shared" ref="K7:K8" si="5">E7-J7</f>
        <v>0</v>
      </c>
      <c r="L7" s="302"/>
      <c r="M7" s="303"/>
    </row>
    <row r="8" spans="1:13" ht="21" customHeight="1" x14ac:dyDescent="0.15">
      <c r="A8" s="298"/>
      <c r="B8" s="299"/>
      <c r="C8" s="300">
        <v>0</v>
      </c>
      <c r="D8" s="300">
        <v>0</v>
      </c>
      <c r="E8" s="301">
        <f t="shared" si="0"/>
        <v>0</v>
      </c>
      <c r="F8" s="300"/>
      <c r="G8" s="301">
        <f t="shared" si="1"/>
        <v>0</v>
      </c>
      <c r="H8" s="301">
        <f t="shared" si="2"/>
        <v>0</v>
      </c>
      <c r="I8" s="301">
        <f t="shared" si="3"/>
        <v>0</v>
      </c>
      <c r="J8" s="301">
        <f t="shared" si="4"/>
        <v>0</v>
      </c>
      <c r="K8" s="300">
        <f t="shared" si="5"/>
        <v>0</v>
      </c>
      <c r="L8" s="302"/>
      <c r="M8" s="303"/>
    </row>
    <row r="9" spans="1:13" ht="21" customHeight="1" x14ac:dyDescent="0.15">
      <c r="A9" s="298"/>
      <c r="B9" s="299"/>
      <c r="C9" s="300">
        <v>0</v>
      </c>
      <c r="D9" s="300">
        <v>0</v>
      </c>
      <c r="E9" s="301">
        <f t="shared" si="0"/>
        <v>0</v>
      </c>
      <c r="F9" s="300"/>
      <c r="G9" s="301">
        <f t="shared" si="1"/>
        <v>0</v>
      </c>
      <c r="H9" s="301">
        <f t="shared" ref="H9:H16" si="6">C9*L9*M9</f>
        <v>0</v>
      </c>
      <c r="I9" s="301">
        <f t="shared" ref="I9:I16" si="7">G9+H9</f>
        <v>0</v>
      </c>
      <c r="J9" s="301">
        <f t="shared" ref="J9:J16" si="8">F9+I9</f>
        <v>0</v>
      </c>
      <c r="K9" s="300">
        <f t="shared" ref="K9:K16" si="9">E9-J9</f>
        <v>0</v>
      </c>
      <c r="L9" s="302"/>
      <c r="M9" s="303"/>
    </row>
    <row r="10" spans="1:13" ht="21" customHeight="1" x14ac:dyDescent="0.15">
      <c r="A10" s="298"/>
      <c r="B10" s="299"/>
      <c r="C10" s="300">
        <v>0</v>
      </c>
      <c r="D10" s="300">
        <v>0</v>
      </c>
      <c r="E10" s="301">
        <f t="shared" si="0"/>
        <v>0</v>
      </c>
      <c r="F10" s="300"/>
      <c r="G10" s="301">
        <f t="shared" si="1"/>
        <v>0</v>
      </c>
      <c r="H10" s="301">
        <f t="shared" si="6"/>
        <v>0</v>
      </c>
      <c r="I10" s="300">
        <f t="shared" si="7"/>
        <v>0</v>
      </c>
      <c r="J10" s="301">
        <f t="shared" si="8"/>
        <v>0</v>
      </c>
      <c r="K10" s="300">
        <f t="shared" si="9"/>
        <v>0</v>
      </c>
      <c r="L10" s="302"/>
      <c r="M10" s="303"/>
    </row>
    <row r="11" spans="1:13" ht="21" customHeight="1" x14ac:dyDescent="0.15">
      <c r="A11" s="298"/>
      <c r="B11" s="299"/>
      <c r="C11" s="300">
        <v>0</v>
      </c>
      <c r="D11" s="300">
        <v>0</v>
      </c>
      <c r="E11" s="301">
        <f t="shared" si="0"/>
        <v>0</v>
      </c>
      <c r="F11" s="300"/>
      <c r="G11" s="301">
        <f t="shared" si="1"/>
        <v>0</v>
      </c>
      <c r="H11" s="301">
        <f t="shared" si="6"/>
        <v>0</v>
      </c>
      <c r="I11" s="300">
        <f t="shared" si="7"/>
        <v>0</v>
      </c>
      <c r="J11" s="301">
        <f t="shared" si="8"/>
        <v>0</v>
      </c>
      <c r="K11" s="300">
        <f t="shared" si="9"/>
        <v>0</v>
      </c>
      <c r="L11" s="302"/>
      <c r="M11" s="303"/>
    </row>
    <row r="12" spans="1:13" ht="21" customHeight="1" x14ac:dyDescent="0.15">
      <c r="A12" s="298"/>
      <c r="B12" s="299"/>
      <c r="C12" s="300">
        <v>0</v>
      </c>
      <c r="D12" s="300">
        <v>0</v>
      </c>
      <c r="E12" s="301">
        <f t="shared" si="0"/>
        <v>0</v>
      </c>
      <c r="F12" s="300"/>
      <c r="G12" s="301">
        <f t="shared" si="1"/>
        <v>0</v>
      </c>
      <c r="H12" s="301">
        <f t="shared" si="6"/>
        <v>0</v>
      </c>
      <c r="I12" s="300">
        <f t="shared" si="7"/>
        <v>0</v>
      </c>
      <c r="J12" s="301">
        <f t="shared" si="8"/>
        <v>0</v>
      </c>
      <c r="K12" s="300">
        <f t="shared" si="9"/>
        <v>0</v>
      </c>
      <c r="L12" s="302"/>
      <c r="M12" s="303"/>
    </row>
    <row r="13" spans="1:13" ht="21" customHeight="1" x14ac:dyDescent="0.15">
      <c r="A13" s="298"/>
      <c r="B13" s="299"/>
      <c r="C13" s="300">
        <v>0</v>
      </c>
      <c r="D13" s="300">
        <v>0</v>
      </c>
      <c r="E13" s="301">
        <f t="shared" si="0"/>
        <v>0</v>
      </c>
      <c r="F13" s="300"/>
      <c r="G13" s="301">
        <f t="shared" si="1"/>
        <v>0</v>
      </c>
      <c r="H13" s="301">
        <f t="shared" si="6"/>
        <v>0</v>
      </c>
      <c r="I13" s="300">
        <f t="shared" si="7"/>
        <v>0</v>
      </c>
      <c r="J13" s="301">
        <f t="shared" si="8"/>
        <v>0</v>
      </c>
      <c r="K13" s="300">
        <f t="shared" si="9"/>
        <v>0</v>
      </c>
      <c r="L13" s="302"/>
      <c r="M13" s="303"/>
    </row>
    <row r="14" spans="1:13" ht="21" customHeight="1" x14ac:dyDescent="0.15">
      <c r="A14" s="298"/>
      <c r="B14" s="299"/>
      <c r="C14" s="300">
        <v>0</v>
      </c>
      <c r="D14" s="300">
        <v>0</v>
      </c>
      <c r="E14" s="301">
        <f t="shared" si="0"/>
        <v>0</v>
      </c>
      <c r="F14" s="300"/>
      <c r="G14" s="301">
        <f t="shared" si="1"/>
        <v>0</v>
      </c>
      <c r="H14" s="301">
        <f t="shared" si="6"/>
        <v>0</v>
      </c>
      <c r="I14" s="300">
        <f t="shared" si="7"/>
        <v>0</v>
      </c>
      <c r="J14" s="301">
        <f t="shared" si="8"/>
        <v>0</v>
      </c>
      <c r="K14" s="300">
        <f t="shared" si="9"/>
        <v>0</v>
      </c>
      <c r="L14" s="302"/>
      <c r="M14" s="303"/>
    </row>
    <row r="15" spans="1:13" ht="21" customHeight="1" x14ac:dyDescent="0.15">
      <c r="A15" s="298"/>
      <c r="B15" s="299"/>
      <c r="C15" s="300">
        <v>0</v>
      </c>
      <c r="D15" s="300">
        <v>0</v>
      </c>
      <c r="E15" s="301">
        <f t="shared" si="0"/>
        <v>0</v>
      </c>
      <c r="F15" s="300"/>
      <c r="G15" s="301">
        <f t="shared" si="1"/>
        <v>0</v>
      </c>
      <c r="H15" s="301">
        <f t="shared" si="6"/>
        <v>0</v>
      </c>
      <c r="I15" s="300">
        <f t="shared" si="7"/>
        <v>0</v>
      </c>
      <c r="J15" s="301">
        <f t="shared" si="8"/>
        <v>0</v>
      </c>
      <c r="K15" s="300">
        <f t="shared" si="9"/>
        <v>0</v>
      </c>
      <c r="L15" s="302"/>
      <c r="M15" s="303"/>
    </row>
    <row r="16" spans="1:13" ht="21" customHeight="1" thickBot="1" x14ac:dyDescent="0.2">
      <c r="A16" s="304"/>
      <c r="B16" s="305"/>
      <c r="C16" s="306">
        <v>0</v>
      </c>
      <c r="D16" s="306">
        <v>0</v>
      </c>
      <c r="E16" s="307">
        <f t="shared" si="0"/>
        <v>0</v>
      </c>
      <c r="F16" s="306"/>
      <c r="G16" s="307">
        <f t="shared" si="1"/>
        <v>0</v>
      </c>
      <c r="H16" s="307">
        <f t="shared" si="6"/>
        <v>0</v>
      </c>
      <c r="I16" s="306">
        <f t="shared" si="7"/>
        <v>0</v>
      </c>
      <c r="J16" s="307">
        <f t="shared" si="8"/>
        <v>0</v>
      </c>
      <c r="K16" s="306">
        <f t="shared" si="9"/>
        <v>0</v>
      </c>
      <c r="L16" s="308"/>
      <c r="M16" s="309"/>
    </row>
    <row r="17" spans="1:13" s="237" customFormat="1" ht="21" customHeight="1" thickBot="1" x14ac:dyDescent="0.2">
      <c r="A17" s="243" t="s">
        <v>65</v>
      </c>
      <c r="B17" s="244">
        <f t="shared" ref="B17:K17" si="10">SUM(B5:B16)</f>
        <v>0</v>
      </c>
      <c r="C17" s="245">
        <f t="shared" si="10"/>
        <v>0</v>
      </c>
      <c r="D17" s="245">
        <f t="shared" si="10"/>
        <v>0</v>
      </c>
      <c r="E17" s="245">
        <f t="shared" si="10"/>
        <v>0</v>
      </c>
      <c r="F17" s="245">
        <f t="shared" si="10"/>
        <v>0</v>
      </c>
      <c r="G17" s="245">
        <f t="shared" si="10"/>
        <v>0</v>
      </c>
      <c r="H17" s="245">
        <f t="shared" si="10"/>
        <v>0</v>
      </c>
      <c r="I17" s="246">
        <f t="shared" si="10"/>
        <v>0</v>
      </c>
      <c r="J17" s="247">
        <f t="shared" si="10"/>
        <v>0</v>
      </c>
      <c r="K17" s="245">
        <f t="shared" si="10"/>
        <v>0</v>
      </c>
      <c r="L17" s="245"/>
      <c r="M17" s="248"/>
    </row>
    <row r="18" spans="1:13" ht="60" customHeight="1" x14ac:dyDescent="0.15">
      <c r="A18" s="467" t="s">
        <v>343</v>
      </c>
      <c r="B18" s="467"/>
      <c r="C18" s="467"/>
      <c r="D18" s="467"/>
      <c r="E18" s="467"/>
      <c r="F18" s="467"/>
      <c r="G18" s="467"/>
      <c r="H18" s="467"/>
      <c r="I18" s="467"/>
      <c r="J18" s="467"/>
      <c r="K18" s="467"/>
      <c r="L18" s="467"/>
      <c r="M18" s="467"/>
    </row>
    <row r="19" spans="1:13" ht="18.75" thickBot="1" x14ac:dyDescent="0.25">
      <c r="A19" s="637" t="s">
        <v>325</v>
      </c>
      <c r="B19" s="637"/>
      <c r="C19" s="637"/>
      <c r="D19" s="637"/>
      <c r="E19" s="637"/>
      <c r="F19" s="637"/>
      <c r="G19" s="637"/>
      <c r="H19" s="637"/>
      <c r="I19" s="637"/>
      <c r="J19" s="637"/>
      <c r="K19" s="637"/>
      <c r="L19" s="637"/>
      <c r="M19" s="637"/>
    </row>
    <row r="20" spans="1:13" ht="25.5" customHeight="1" x14ac:dyDescent="0.15">
      <c r="A20" s="119" t="s">
        <v>1</v>
      </c>
      <c r="B20" s="120">
        <v>1</v>
      </c>
      <c r="C20" s="120">
        <v>2</v>
      </c>
      <c r="D20" s="120">
        <v>3</v>
      </c>
      <c r="E20" s="120">
        <v>4</v>
      </c>
      <c r="F20" s="120">
        <v>5</v>
      </c>
      <c r="G20" s="120">
        <v>6</v>
      </c>
      <c r="H20" s="120">
        <v>7</v>
      </c>
      <c r="I20" s="120">
        <v>8</v>
      </c>
      <c r="J20" s="120">
        <v>9</v>
      </c>
      <c r="K20" s="120">
        <v>10</v>
      </c>
      <c r="L20" s="120">
        <v>11</v>
      </c>
      <c r="M20" s="121">
        <v>12</v>
      </c>
    </row>
    <row r="21" spans="1:13" ht="40.700000000000003" customHeight="1" x14ac:dyDescent="0.15">
      <c r="A21" s="634" t="s">
        <v>64</v>
      </c>
      <c r="B21" s="635" t="s">
        <v>326</v>
      </c>
      <c r="C21" s="635" t="s">
        <v>327</v>
      </c>
      <c r="D21" s="635" t="s">
        <v>328</v>
      </c>
      <c r="E21" s="111" t="s">
        <v>329</v>
      </c>
      <c r="F21" s="635" t="s">
        <v>544</v>
      </c>
      <c r="G21" s="111" t="s">
        <v>330</v>
      </c>
      <c r="H21" s="111" t="s">
        <v>331</v>
      </c>
      <c r="I21" s="111" t="s">
        <v>332</v>
      </c>
      <c r="J21" s="111" t="s">
        <v>333</v>
      </c>
      <c r="K21" s="111" t="s">
        <v>334</v>
      </c>
      <c r="L21" s="635" t="s">
        <v>335</v>
      </c>
      <c r="M21" s="636" t="s">
        <v>336</v>
      </c>
    </row>
    <row r="22" spans="1:13" ht="25.5" customHeight="1" x14ac:dyDescent="0.15">
      <c r="A22" s="634"/>
      <c r="B22" s="635"/>
      <c r="C22" s="635"/>
      <c r="D22" s="635"/>
      <c r="E22" s="111" t="s">
        <v>337</v>
      </c>
      <c r="F22" s="635"/>
      <c r="G22" s="112" t="s">
        <v>338</v>
      </c>
      <c r="H22" s="111" t="s">
        <v>339</v>
      </c>
      <c r="I22" s="111" t="s">
        <v>340</v>
      </c>
      <c r="J22" s="111" t="s">
        <v>341</v>
      </c>
      <c r="K22" s="111" t="s">
        <v>342</v>
      </c>
      <c r="L22" s="635"/>
      <c r="M22" s="636"/>
    </row>
    <row r="23" spans="1:13" ht="21" customHeight="1" x14ac:dyDescent="0.15">
      <c r="A23" s="204"/>
      <c r="B23" s="113"/>
      <c r="C23" s="114"/>
      <c r="D23" s="115"/>
      <c r="E23" s="116"/>
      <c r="F23" s="114"/>
      <c r="G23" s="116"/>
      <c r="H23" s="116"/>
      <c r="I23" s="114"/>
      <c r="J23" s="116"/>
      <c r="K23" s="114"/>
      <c r="L23" s="117"/>
      <c r="M23" s="202"/>
    </row>
    <row r="24" spans="1:13" ht="21" customHeight="1" x14ac:dyDescent="0.15">
      <c r="A24" s="205"/>
      <c r="B24" s="117"/>
      <c r="C24" s="116"/>
      <c r="D24" s="115"/>
      <c r="E24" s="116"/>
      <c r="F24" s="116"/>
      <c r="G24" s="116"/>
      <c r="H24" s="116"/>
      <c r="I24" s="114"/>
      <c r="J24" s="116"/>
      <c r="K24" s="114"/>
      <c r="L24" s="117"/>
      <c r="M24" s="202"/>
    </row>
    <row r="25" spans="1:13" ht="21" customHeight="1" x14ac:dyDescent="0.15">
      <c r="A25" s="205"/>
      <c r="B25" s="117"/>
      <c r="C25" s="116"/>
      <c r="D25" s="115"/>
      <c r="E25" s="116"/>
      <c r="F25" s="116"/>
      <c r="G25" s="116"/>
      <c r="H25" s="116"/>
      <c r="I25" s="114"/>
      <c r="J25" s="116"/>
      <c r="K25" s="114"/>
      <c r="L25" s="117"/>
      <c r="M25" s="202"/>
    </row>
    <row r="26" spans="1:13" ht="21" customHeight="1" x14ac:dyDescent="0.15">
      <c r="A26" s="205"/>
      <c r="B26" s="117"/>
      <c r="C26" s="116"/>
      <c r="D26" s="115"/>
      <c r="E26" s="116"/>
      <c r="F26" s="116"/>
      <c r="G26" s="116"/>
      <c r="H26" s="116"/>
      <c r="I26" s="114"/>
      <c r="J26" s="116"/>
      <c r="K26" s="114"/>
      <c r="L26" s="117"/>
      <c r="M26" s="202"/>
    </row>
    <row r="27" spans="1:13" ht="21" customHeight="1" x14ac:dyDescent="0.15">
      <c r="A27" s="205"/>
      <c r="B27" s="117"/>
      <c r="C27" s="116"/>
      <c r="D27" s="115"/>
      <c r="E27" s="116"/>
      <c r="F27" s="116"/>
      <c r="G27" s="116"/>
      <c r="H27" s="116"/>
      <c r="I27" s="114"/>
      <c r="J27" s="116"/>
      <c r="K27" s="114"/>
      <c r="L27" s="117"/>
      <c r="M27" s="202"/>
    </row>
    <row r="28" spans="1:13" ht="21" customHeight="1" x14ac:dyDescent="0.15">
      <c r="A28" s="205"/>
      <c r="B28" s="117"/>
      <c r="C28" s="116"/>
      <c r="D28" s="115"/>
      <c r="E28" s="116"/>
      <c r="F28" s="116"/>
      <c r="G28" s="116"/>
      <c r="H28" s="116"/>
      <c r="I28" s="114"/>
      <c r="J28" s="116"/>
      <c r="K28" s="114"/>
      <c r="L28" s="117"/>
      <c r="M28" s="202"/>
    </row>
    <row r="29" spans="1:13" ht="21" customHeight="1" x14ac:dyDescent="0.15">
      <c r="A29" s="205"/>
      <c r="B29" s="117"/>
      <c r="C29" s="116"/>
      <c r="D29" s="115"/>
      <c r="E29" s="116"/>
      <c r="F29" s="116"/>
      <c r="G29" s="116"/>
      <c r="H29" s="116"/>
      <c r="I29" s="114"/>
      <c r="J29" s="116"/>
      <c r="K29" s="114"/>
      <c r="L29" s="117"/>
      <c r="M29" s="202"/>
    </row>
    <row r="30" spans="1:13" ht="21" customHeight="1" x14ac:dyDescent="0.15">
      <c r="A30" s="205"/>
      <c r="B30" s="117"/>
      <c r="C30" s="116"/>
      <c r="D30" s="115"/>
      <c r="E30" s="116"/>
      <c r="F30" s="116"/>
      <c r="G30" s="116"/>
      <c r="H30" s="116"/>
      <c r="I30" s="114"/>
      <c r="J30" s="116"/>
      <c r="K30" s="114"/>
      <c r="L30" s="117"/>
      <c r="M30" s="202"/>
    </row>
    <row r="31" spans="1:13" ht="21" customHeight="1" x14ac:dyDescent="0.15">
      <c r="A31" s="205"/>
      <c r="B31" s="117"/>
      <c r="C31" s="116"/>
      <c r="D31" s="115"/>
      <c r="E31" s="116"/>
      <c r="F31" s="116"/>
      <c r="G31" s="116"/>
      <c r="H31" s="116"/>
      <c r="I31" s="114"/>
      <c r="J31" s="116"/>
      <c r="K31" s="114"/>
      <c r="L31" s="117"/>
      <c r="M31" s="202"/>
    </row>
    <row r="32" spans="1:13" ht="21" customHeight="1" x14ac:dyDescent="0.15">
      <c r="A32" s="205"/>
      <c r="B32" s="117"/>
      <c r="C32" s="116"/>
      <c r="D32" s="115"/>
      <c r="E32" s="116"/>
      <c r="F32" s="116"/>
      <c r="G32" s="116"/>
      <c r="H32" s="116"/>
      <c r="I32" s="114"/>
      <c r="J32" s="116"/>
      <c r="K32" s="114"/>
      <c r="L32" s="117"/>
      <c r="M32" s="202"/>
    </row>
    <row r="33" spans="1:13" ht="21" customHeight="1" x14ac:dyDescent="0.15">
      <c r="A33" s="205"/>
      <c r="B33" s="117"/>
      <c r="C33" s="116"/>
      <c r="D33" s="115"/>
      <c r="E33" s="116"/>
      <c r="F33" s="116"/>
      <c r="G33" s="116"/>
      <c r="H33" s="116"/>
      <c r="I33" s="114"/>
      <c r="J33" s="116"/>
      <c r="K33" s="114"/>
      <c r="L33" s="117"/>
      <c r="M33" s="202"/>
    </row>
    <row r="34" spans="1:13" ht="21" customHeight="1" x14ac:dyDescent="0.15">
      <c r="A34" s="205"/>
      <c r="B34" s="117"/>
      <c r="C34" s="116"/>
      <c r="D34" s="115"/>
      <c r="E34" s="116"/>
      <c r="F34" s="116"/>
      <c r="G34" s="116"/>
      <c r="H34" s="116"/>
      <c r="I34" s="114"/>
      <c r="J34" s="116"/>
      <c r="K34" s="114"/>
      <c r="L34" s="117"/>
      <c r="M34" s="202"/>
    </row>
    <row r="35" spans="1:13" ht="21" customHeight="1" x14ac:dyDescent="0.15">
      <c r="A35" s="205"/>
      <c r="B35" s="117"/>
      <c r="C35" s="116"/>
      <c r="D35" s="115"/>
      <c r="E35" s="116"/>
      <c r="F35" s="116"/>
      <c r="G35" s="116"/>
      <c r="H35" s="116"/>
      <c r="I35" s="114"/>
      <c r="J35" s="116"/>
      <c r="K35" s="114"/>
      <c r="L35" s="117"/>
      <c r="M35" s="202"/>
    </row>
    <row r="36" spans="1:13" ht="21" customHeight="1" x14ac:dyDescent="0.15">
      <c r="A36" s="205"/>
      <c r="B36" s="117"/>
      <c r="C36" s="69"/>
      <c r="D36" s="69"/>
      <c r="E36" s="69"/>
      <c r="F36" s="69"/>
      <c r="G36" s="69"/>
      <c r="H36" s="69"/>
      <c r="I36" s="241"/>
      <c r="J36" s="69"/>
      <c r="K36" s="241"/>
      <c r="L36" s="118"/>
      <c r="M36" s="202"/>
    </row>
    <row r="37" spans="1:13" ht="21" customHeight="1" x14ac:dyDescent="0.15">
      <c r="A37" s="205"/>
      <c r="B37" s="117"/>
      <c r="C37" s="69"/>
      <c r="D37" s="69"/>
      <c r="E37" s="69"/>
      <c r="F37" s="69"/>
      <c r="G37" s="69"/>
      <c r="H37" s="69"/>
      <c r="I37" s="241"/>
      <c r="J37" s="69"/>
      <c r="K37" s="241"/>
      <c r="L37" s="118"/>
      <c r="M37" s="202"/>
    </row>
    <row r="38" spans="1:13" ht="21" customHeight="1" x14ac:dyDescent="0.15">
      <c r="A38" s="205"/>
      <c r="B38" s="117"/>
      <c r="C38" s="69"/>
      <c r="D38" s="69"/>
      <c r="E38" s="69"/>
      <c r="F38" s="69"/>
      <c r="G38" s="69"/>
      <c r="H38" s="69"/>
      <c r="I38" s="241"/>
      <c r="J38" s="69"/>
      <c r="K38" s="241"/>
      <c r="L38" s="118"/>
      <c r="M38" s="202"/>
    </row>
    <row r="39" spans="1:13" ht="21" customHeight="1" thickBot="1" x14ac:dyDescent="0.2">
      <c r="A39" s="206"/>
      <c r="B39" s="122"/>
      <c r="C39" s="123"/>
      <c r="D39" s="123"/>
      <c r="E39" s="123"/>
      <c r="F39" s="123"/>
      <c r="G39" s="123"/>
      <c r="H39" s="123"/>
      <c r="I39" s="242"/>
      <c r="J39" s="123"/>
      <c r="K39" s="242"/>
      <c r="L39" s="124"/>
      <c r="M39" s="203"/>
    </row>
    <row r="40" spans="1:13" ht="60" customHeight="1" x14ac:dyDescent="0.15">
      <c r="A40" s="467" t="s">
        <v>344</v>
      </c>
      <c r="B40" s="467"/>
      <c r="C40" s="467"/>
      <c r="D40" s="467"/>
      <c r="E40" s="467"/>
      <c r="F40" s="467"/>
      <c r="G40" s="467"/>
      <c r="H40" s="467"/>
      <c r="I40" s="467"/>
      <c r="J40" s="467"/>
      <c r="K40" s="467"/>
      <c r="L40" s="467"/>
      <c r="M40" s="467"/>
    </row>
  </sheetData>
  <sheetProtection formatCells="0" formatColumns="0" formatRows="0"/>
  <protectedRanges>
    <protectedRange sqref="A5:A6 A8:M17 A23:M39 B5:M7" name="استهلاك الموجودات"/>
  </protectedRanges>
  <mergeCells count="18">
    <mergeCell ref="A40:M40"/>
    <mergeCell ref="A18:M18"/>
    <mergeCell ref="A19:M19"/>
    <mergeCell ref="A21:A22"/>
    <mergeCell ref="B21:B22"/>
    <mergeCell ref="C21:C22"/>
    <mergeCell ref="D21:D22"/>
    <mergeCell ref="F21:F22"/>
    <mergeCell ref="L21:L22"/>
    <mergeCell ref="M21:M22"/>
    <mergeCell ref="A1:M1"/>
    <mergeCell ref="A3:A4"/>
    <mergeCell ref="B3:B4"/>
    <mergeCell ref="C3:C4"/>
    <mergeCell ref="D3:D4"/>
    <mergeCell ref="F3:F4"/>
    <mergeCell ref="L3:L4"/>
    <mergeCell ref="M3:M4"/>
  </mergeCells>
  <printOptions horizontalCentered="1" verticalCentered="1"/>
  <pageMargins left="0" right="0" top="0" bottom="0" header="0" footer="0"/>
  <pageSetup paperSize="9" orientation="landscape" r:id="rId1"/>
  <rowBreaks count="1" manualBreakCount="1">
    <brk id="18" max="16383"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81"/>
  <sheetViews>
    <sheetView rightToLeft="1" workbookViewId="0"/>
  </sheetViews>
  <sheetFormatPr defaultColWidth="8.94921875" defaultRowHeight="17.25" customHeight="1" x14ac:dyDescent="0.15"/>
  <cols>
    <col min="1" max="10" width="8.94921875" style="81"/>
    <col min="11" max="16384" width="8.94921875" style="159"/>
  </cols>
  <sheetData>
    <row r="1" spans="1:10" ht="22.7" customHeight="1" x14ac:dyDescent="0.15"/>
    <row r="2" spans="1:10" ht="23.25" x14ac:dyDescent="0.15">
      <c r="A2" s="648" t="s">
        <v>470</v>
      </c>
      <c r="B2" s="648"/>
      <c r="C2" s="648"/>
      <c r="D2" s="648"/>
      <c r="E2" s="648"/>
      <c r="F2" s="648"/>
      <c r="G2" s="648"/>
      <c r="H2" s="648"/>
      <c r="I2" s="648"/>
      <c r="J2" s="648"/>
    </row>
    <row r="3" spans="1:10" ht="13.5" x14ac:dyDescent="0.15">
      <c r="A3" s="639"/>
      <c r="B3" s="639"/>
      <c r="C3" s="639"/>
      <c r="D3" s="639"/>
      <c r="E3" s="639"/>
      <c r="F3" s="639"/>
      <c r="G3" s="639"/>
      <c r="H3" s="639"/>
      <c r="I3" s="639"/>
      <c r="J3" s="639"/>
    </row>
    <row r="4" spans="1:10" ht="20.25" x14ac:dyDescent="0.25">
      <c r="A4" s="641" t="s">
        <v>471</v>
      </c>
      <c r="B4" s="641"/>
      <c r="C4" s="641"/>
      <c r="D4" s="641"/>
      <c r="E4" s="641"/>
      <c r="F4" s="641"/>
      <c r="G4" s="641"/>
      <c r="H4" s="641"/>
      <c r="I4" s="641"/>
      <c r="J4" s="641"/>
    </row>
    <row r="5" spans="1:10" ht="22.7" customHeight="1" x14ac:dyDescent="0.15">
      <c r="A5" s="639" t="s">
        <v>545</v>
      </c>
      <c r="B5" s="639"/>
      <c r="C5" s="639"/>
      <c r="D5" s="639"/>
      <c r="E5" s="639"/>
      <c r="F5" s="639"/>
      <c r="G5" s="639"/>
      <c r="H5" s="639"/>
      <c r="I5" s="639"/>
      <c r="J5" s="639"/>
    </row>
    <row r="6" spans="1:10" ht="20.25" x14ac:dyDescent="0.25">
      <c r="A6" s="641" t="s">
        <v>472</v>
      </c>
      <c r="B6" s="641"/>
      <c r="C6" s="641"/>
      <c r="D6" s="641"/>
      <c r="E6" s="641"/>
      <c r="F6" s="641"/>
      <c r="G6" s="641"/>
      <c r="H6" s="641"/>
      <c r="I6" s="641"/>
      <c r="J6" s="641"/>
    </row>
    <row r="7" spans="1:10" ht="22.7" customHeight="1" x14ac:dyDescent="0.15">
      <c r="A7" s="639" t="s">
        <v>473</v>
      </c>
      <c r="B7" s="639"/>
      <c r="C7" s="639"/>
      <c r="D7" s="639"/>
      <c r="E7" s="639"/>
      <c r="F7" s="639"/>
      <c r="G7" s="639"/>
      <c r="H7" s="639"/>
      <c r="I7" s="639"/>
      <c r="J7" s="639"/>
    </row>
    <row r="8" spans="1:10" ht="43.5" customHeight="1" x14ac:dyDescent="0.15">
      <c r="A8" s="639" t="s">
        <v>474</v>
      </c>
      <c r="B8" s="639"/>
      <c r="C8" s="639"/>
      <c r="D8" s="639"/>
      <c r="E8" s="639"/>
      <c r="F8" s="639"/>
      <c r="G8" s="639"/>
      <c r="H8" s="639"/>
      <c r="I8" s="639"/>
      <c r="J8" s="639"/>
    </row>
    <row r="9" spans="1:10" ht="22.7" customHeight="1" x14ac:dyDescent="0.15">
      <c r="A9" s="639" t="s">
        <v>475</v>
      </c>
      <c r="B9" s="639"/>
      <c r="C9" s="639"/>
      <c r="D9" s="639"/>
      <c r="E9" s="639"/>
      <c r="F9" s="639"/>
      <c r="G9" s="639"/>
      <c r="H9" s="639"/>
      <c r="I9" s="639"/>
      <c r="J9" s="639"/>
    </row>
    <row r="10" spans="1:10" ht="22.7" customHeight="1" x14ac:dyDescent="0.15">
      <c r="A10" s="639" t="s">
        <v>476</v>
      </c>
      <c r="B10" s="639"/>
      <c r="C10" s="639"/>
      <c r="D10" s="639"/>
      <c r="E10" s="639"/>
      <c r="F10" s="639"/>
      <c r="G10" s="639"/>
      <c r="H10" s="639"/>
      <c r="I10" s="639"/>
      <c r="J10" s="639"/>
    </row>
    <row r="11" spans="1:10" ht="20.25" x14ac:dyDescent="0.25">
      <c r="A11" s="641" t="s">
        <v>477</v>
      </c>
      <c r="B11" s="641"/>
      <c r="C11" s="641"/>
      <c r="D11" s="641"/>
      <c r="E11" s="641"/>
      <c r="F11" s="641"/>
      <c r="G11" s="641"/>
      <c r="H11" s="641"/>
      <c r="I11" s="641"/>
      <c r="J11" s="641"/>
    </row>
    <row r="12" spans="1:10" ht="22.7" customHeight="1" x14ac:dyDescent="0.15">
      <c r="A12" s="639" t="s">
        <v>478</v>
      </c>
      <c r="B12" s="639"/>
      <c r="C12" s="639"/>
      <c r="D12" s="639"/>
      <c r="E12" s="639"/>
      <c r="F12" s="639"/>
      <c r="G12" s="639"/>
      <c r="H12" s="639"/>
      <c r="I12" s="639"/>
      <c r="J12" s="639"/>
    </row>
    <row r="13" spans="1:10" ht="20.25" x14ac:dyDescent="0.25">
      <c r="A13" s="641" t="s">
        <v>479</v>
      </c>
      <c r="B13" s="641"/>
      <c r="C13" s="641"/>
      <c r="D13" s="641"/>
      <c r="E13" s="641"/>
      <c r="F13" s="641"/>
      <c r="G13" s="641"/>
      <c r="H13" s="641"/>
      <c r="I13" s="641"/>
      <c r="J13" s="641"/>
    </row>
    <row r="14" spans="1:10" ht="22.7" customHeight="1" x14ac:dyDescent="0.15">
      <c r="A14" s="639" t="s">
        <v>480</v>
      </c>
      <c r="B14" s="639"/>
      <c r="C14" s="639"/>
      <c r="D14" s="639"/>
      <c r="E14" s="639"/>
      <c r="F14" s="639"/>
      <c r="G14" s="639"/>
      <c r="H14" s="639"/>
      <c r="I14" s="639"/>
      <c r="J14" s="639"/>
    </row>
    <row r="15" spans="1:10" ht="20.25" x14ac:dyDescent="0.25">
      <c r="A15" s="641" t="s">
        <v>481</v>
      </c>
      <c r="B15" s="641"/>
      <c r="C15" s="641"/>
      <c r="D15" s="641"/>
      <c r="E15" s="641"/>
      <c r="F15" s="641"/>
      <c r="G15" s="641"/>
      <c r="H15" s="641"/>
      <c r="I15" s="641"/>
      <c r="J15" s="641"/>
    </row>
    <row r="16" spans="1:10" ht="54.95" customHeight="1" x14ac:dyDescent="0.15">
      <c r="A16" s="645" t="s">
        <v>482</v>
      </c>
      <c r="B16" s="645"/>
      <c r="C16" s="645"/>
      <c r="D16" s="645"/>
      <c r="E16" s="645"/>
      <c r="F16" s="645"/>
      <c r="G16" s="645"/>
      <c r="H16" s="645"/>
      <c r="I16" s="645"/>
      <c r="J16" s="645"/>
    </row>
    <row r="17" spans="1:10" ht="20.25" x14ac:dyDescent="0.25">
      <c r="A17" s="641" t="s">
        <v>483</v>
      </c>
      <c r="B17" s="641"/>
      <c r="C17" s="641"/>
      <c r="D17" s="641"/>
      <c r="E17" s="641"/>
      <c r="F17" s="641"/>
      <c r="G17" s="641"/>
      <c r="H17" s="641"/>
      <c r="I17" s="641"/>
      <c r="J17" s="641"/>
    </row>
    <row r="18" spans="1:10" ht="17.25" customHeight="1" x14ac:dyDescent="0.15">
      <c r="A18" s="646" t="s">
        <v>484</v>
      </c>
      <c r="B18" s="647"/>
      <c r="C18" s="647"/>
      <c r="D18" s="647"/>
      <c r="E18" s="647"/>
      <c r="F18" s="647"/>
      <c r="G18" s="647"/>
      <c r="H18" s="647"/>
      <c r="I18" s="647"/>
      <c r="J18" s="647"/>
    </row>
    <row r="19" spans="1:10" ht="36" customHeight="1" x14ac:dyDescent="0.15">
      <c r="A19" s="639" t="s">
        <v>532</v>
      </c>
      <c r="B19" s="639"/>
      <c r="C19" s="639"/>
      <c r="D19" s="639"/>
      <c r="E19" s="639"/>
      <c r="F19" s="639"/>
      <c r="G19" s="639"/>
      <c r="H19" s="639"/>
      <c r="I19" s="639"/>
      <c r="J19" s="639"/>
    </row>
    <row r="20" spans="1:10" ht="22.7" customHeight="1" x14ac:dyDescent="0.15">
      <c r="A20" s="639" t="s">
        <v>533</v>
      </c>
      <c r="B20" s="639"/>
      <c r="C20" s="639"/>
      <c r="D20" s="639"/>
      <c r="E20" s="639"/>
      <c r="F20" s="639"/>
      <c r="G20" s="639"/>
      <c r="H20" s="639"/>
      <c r="I20" s="639"/>
      <c r="J20" s="639"/>
    </row>
    <row r="21" spans="1:10" ht="22.7" customHeight="1" x14ac:dyDescent="0.15">
      <c r="A21" s="639" t="s">
        <v>485</v>
      </c>
      <c r="B21" s="639"/>
      <c r="C21" s="639"/>
      <c r="D21" s="639"/>
      <c r="E21" s="639"/>
      <c r="F21" s="639"/>
      <c r="G21" s="639"/>
      <c r="H21" s="639"/>
      <c r="I21" s="639"/>
      <c r="J21" s="639"/>
    </row>
    <row r="22" spans="1:10" ht="22.7" customHeight="1" x14ac:dyDescent="0.15">
      <c r="A22" s="639" t="s">
        <v>534</v>
      </c>
      <c r="B22" s="639"/>
      <c r="C22" s="639"/>
      <c r="D22" s="639"/>
      <c r="E22" s="639"/>
      <c r="F22" s="639"/>
      <c r="G22" s="639"/>
      <c r="H22" s="639"/>
      <c r="I22" s="639"/>
      <c r="J22" s="639"/>
    </row>
    <row r="23" spans="1:10" ht="43.5" customHeight="1" x14ac:dyDescent="0.15">
      <c r="A23" s="639" t="s">
        <v>535</v>
      </c>
      <c r="B23" s="639"/>
      <c r="C23" s="639"/>
      <c r="D23" s="639"/>
      <c r="E23" s="639"/>
      <c r="F23" s="639"/>
      <c r="G23" s="639"/>
      <c r="H23" s="639"/>
      <c r="I23" s="639"/>
      <c r="J23" s="639"/>
    </row>
    <row r="24" spans="1:10" ht="22.7" customHeight="1" x14ac:dyDescent="0.15">
      <c r="A24" s="644" t="s">
        <v>486</v>
      </c>
      <c r="B24" s="644"/>
      <c r="C24" s="644"/>
      <c r="D24" s="644"/>
      <c r="E24" s="644"/>
      <c r="F24" s="644"/>
      <c r="G24" s="644"/>
      <c r="H24" s="644"/>
      <c r="I24" s="644"/>
      <c r="J24" s="644"/>
    </row>
    <row r="25" spans="1:10" ht="22.7" customHeight="1" x14ac:dyDescent="0.15">
      <c r="A25" s="639" t="s">
        <v>536</v>
      </c>
      <c r="B25" s="639"/>
      <c r="C25" s="639"/>
      <c r="D25" s="639"/>
      <c r="E25" s="639"/>
      <c r="F25" s="639"/>
      <c r="G25" s="639"/>
      <c r="H25" s="639"/>
      <c r="I25" s="639"/>
      <c r="J25" s="639"/>
    </row>
    <row r="26" spans="1:10" ht="22.7" customHeight="1" x14ac:dyDescent="0.15">
      <c r="A26" s="639" t="s">
        <v>487</v>
      </c>
      <c r="B26" s="639"/>
      <c r="C26" s="639"/>
      <c r="D26" s="639"/>
      <c r="E26" s="639"/>
      <c r="F26" s="639"/>
      <c r="G26" s="639"/>
      <c r="H26" s="639"/>
      <c r="I26" s="639"/>
      <c r="J26" s="639"/>
    </row>
    <row r="27" spans="1:10" ht="43.5" customHeight="1" x14ac:dyDescent="0.15">
      <c r="A27" s="639" t="s">
        <v>531</v>
      </c>
      <c r="B27" s="639"/>
      <c r="C27" s="639"/>
      <c r="D27" s="639"/>
      <c r="E27" s="639"/>
      <c r="F27" s="639"/>
      <c r="G27" s="639"/>
      <c r="H27" s="639"/>
      <c r="I27" s="639"/>
      <c r="J27" s="639"/>
    </row>
    <row r="28" spans="1:10" ht="17.25" customHeight="1" x14ac:dyDescent="0.15">
      <c r="A28" s="638" t="s">
        <v>488</v>
      </c>
      <c r="B28" s="638"/>
      <c r="C28" s="638"/>
      <c r="D28" s="638"/>
      <c r="E28" s="638"/>
      <c r="F28" s="638"/>
      <c r="G28" s="638"/>
      <c r="H28" s="638"/>
      <c r="I28" s="638"/>
      <c r="J28" s="638"/>
    </row>
    <row r="29" spans="1:10" ht="17.25" customHeight="1" x14ac:dyDescent="0.15">
      <c r="A29" s="639"/>
      <c r="B29" s="639"/>
      <c r="C29" s="639"/>
      <c r="D29" s="639"/>
      <c r="E29" s="639"/>
      <c r="F29" s="639"/>
      <c r="G29" s="639"/>
      <c r="H29" s="639"/>
      <c r="I29" s="639"/>
      <c r="J29" s="639"/>
    </row>
    <row r="30" spans="1:10" ht="43.5" customHeight="1" x14ac:dyDescent="0.15">
      <c r="A30" s="639" t="s">
        <v>537</v>
      </c>
      <c r="B30" s="639"/>
      <c r="C30" s="639"/>
      <c r="D30" s="639"/>
      <c r="E30" s="639"/>
      <c r="F30" s="639"/>
      <c r="G30" s="639"/>
      <c r="H30" s="639"/>
      <c r="I30" s="639"/>
      <c r="J30" s="639"/>
    </row>
    <row r="31" spans="1:10" ht="31.7" customHeight="1" x14ac:dyDescent="0.15">
      <c r="A31" s="639" t="s">
        <v>540</v>
      </c>
      <c r="B31" s="639"/>
      <c r="C31" s="639"/>
      <c r="D31" s="639"/>
      <c r="E31" s="639"/>
      <c r="F31" s="639"/>
      <c r="G31" s="639"/>
      <c r="H31" s="639"/>
      <c r="I31" s="639"/>
      <c r="J31" s="639"/>
    </row>
    <row r="32" spans="1:10" ht="22.7" customHeight="1" x14ac:dyDescent="0.15">
      <c r="A32" s="639" t="s">
        <v>489</v>
      </c>
      <c r="B32" s="639"/>
      <c r="C32" s="639"/>
      <c r="D32" s="639"/>
      <c r="E32" s="639"/>
      <c r="F32" s="639"/>
      <c r="G32" s="639"/>
      <c r="H32" s="639"/>
      <c r="I32" s="639"/>
      <c r="J32" s="639"/>
    </row>
    <row r="33" spans="1:10" ht="22.7" customHeight="1" x14ac:dyDescent="0.15">
      <c r="A33" s="639" t="s">
        <v>490</v>
      </c>
      <c r="B33" s="639"/>
      <c r="C33" s="639"/>
      <c r="D33" s="639"/>
      <c r="E33" s="639"/>
      <c r="F33" s="639"/>
      <c r="G33" s="639"/>
      <c r="H33" s="639"/>
      <c r="I33" s="639"/>
      <c r="J33" s="639"/>
    </row>
    <row r="34" spans="1:10" ht="43.5" customHeight="1" x14ac:dyDescent="0.15">
      <c r="A34" s="639" t="s">
        <v>491</v>
      </c>
      <c r="B34" s="639"/>
      <c r="C34" s="639"/>
      <c r="D34" s="639"/>
      <c r="E34" s="639"/>
      <c r="F34" s="639"/>
      <c r="G34" s="639"/>
      <c r="H34" s="639"/>
      <c r="I34" s="639"/>
      <c r="J34" s="639"/>
    </row>
    <row r="35" spans="1:10" ht="43.5" customHeight="1" x14ac:dyDescent="0.15">
      <c r="A35" s="639" t="s">
        <v>501</v>
      </c>
      <c r="B35" s="639"/>
      <c r="C35" s="639"/>
      <c r="D35" s="639"/>
      <c r="E35" s="639"/>
      <c r="F35" s="639"/>
      <c r="G35" s="639"/>
      <c r="H35" s="639"/>
      <c r="I35" s="639"/>
      <c r="J35" s="639"/>
    </row>
    <row r="36" spans="1:10" ht="22.7" customHeight="1" x14ac:dyDescent="0.15">
      <c r="A36" s="639" t="s">
        <v>492</v>
      </c>
      <c r="B36" s="639"/>
      <c r="C36" s="639"/>
      <c r="D36" s="639"/>
      <c r="E36" s="639"/>
      <c r="F36" s="639"/>
      <c r="G36" s="639"/>
      <c r="H36" s="639"/>
      <c r="I36" s="639"/>
      <c r="J36" s="639"/>
    </row>
    <row r="37" spans="1:10" ht="22.7" customHeight="1" x14ac:dyDescent="0.15">
      <c r="A37" s="639" t="s">
        <v>493</v>
      </c>
      <c r="B37" s="639"/>
      <c r="C37" s="639"/>
      <c r="D37" s="639"/>
      <c r="E37" s="639"/>
      <c r="F37" s="639"/>
      <c r="G37" s="639"/>
      <c r="H37" s="639"/>
      <c r="I37" s="639"/>
      <c r="J37" s="639"/>
    </row>
    <row r="38" spans="1:10" ht="22.7" customHeight="1" x14ac:dyDescent="0.15">
      <c r="A38" s="639" t="s">
        <v>494</v>
      </c>
      <c r="B38" s="639"/>
      <c r="C38" s="639"/>
      <c r="D38" s="639"/>
      <c r="E38" s="639"/>
      <c r="F38" s="639"/>
      <c r="G38" s="639"/>
      <c r="H38" s="639"/>
      <c r="I38" s="639"/>
      <c r="J38" s="639"/>
    </row>
    <row r="39" spans="1:10" ht="22.7" customHeight="1" x14ac:dyDescent="0.15">
      <c r="A39" s="639" t="s">
        <v>495</v>
      </c>
      <c r="B39" s="639"/>
      <c r="C39" s="639"/>
      <c r="D39" s="639"/>
      <c r="E39" s="639"/>
      <c r="F39" s="639"/>
      <c r="G39" s="639"/>
      <c r="H39" s="639"/>
      <c r="I39" s="639"/>
      <c r="J39" s="639"/>
    </row>
    <row r="40" spans="1:10" ht="22.7" customHeight="1" x14ac:dyDescent="0.15">
      <c r="A40" s="639" t="s">
        <v>496</v>
      </c>
      <c r="B40" s="639"/>
      <c r="C40" s="639"/>
      <c r="D40" s="639"/>
      <c r="E40" s="639"/>
      <c r="F40" s="639"/>
      <c r="G40" s="639"/>
      <c r="H40" s="639"/>
      <c r="I40" s="639"/>
      <c r="J40" s="639"/>
    </row>
    <row r="41" spans="1:10" ht="22.7" customHeight="1" x14ac:dyDescent="0.15">
      <c r="A41" s="639" t="s">
        <v>497</v>
      </c>
      <c r="B41" s="639"/>
      <c r="C41" s="639"/>
      <c r="D41" s="639"/>
      <c r="E41" s="639"/>
      <c r="F41" s="639"/>
      <c r="G41" s="639"/>
      <c r="H41" s="639"/>
      <c r="I41" s="639"/>
      <c r="J41" s="639"/>
    </row>
    <row r="42" spans="1:10" ht="22.7" customHeight="1" x14ac:dyDescent="0.15">
      <c r="A42" s="639" t="s">
        <v>498</v>
      </c>
      <c r="B42" s="639"/>
      <c r="C42" s="639"/>
      <c r="D42" s="639"/>
      <c r="E42" s="639"/>
      <c r="F42" s="639"/>
      <c r="G42" s="639"/>
      <c r="H42" s="639"/>
      <c r="I42" s="639"/>
      <c r="J42" s="639"/>
    </row>
    <row r="43" spans="1:10" ht="43.5" customHeight="1" x14ac:dyDescent="0.15">
      <c r="A43" s="639" t="s">
        <v>499</v>
      </c>
      <c r="B43" s="639"/>
      <c r="C43" s="639"/>
      <c r="D43" s="639"/>
      <c r="E43" s="639"/>
      <c r="F43" s="639"/>
      <c r="G43" s="639"/>
      <c r="H43" s="639"/>
      <c r="I43" s="639"/>
      <c r="J43" s="639"/>
    </row>
    <row r="44" spans="1:10" ht="37.5" customHeight="1" x14ac:dyDescent="0.2">
      <c r="A44" s="643" t="s">
        <v>500</v>
      </c>
      <c r="B44" s="643"/>
      <c r="C44" s="643"/>
      <c r="D44" s="643"/>
      <c r="E44" s="643"/>
      <c r="F44" s="643"/>
      <c r="G44" s="643"/>
      <c r="H44" s="643"/>
      <c r="I44" s="643"/>
      <c r="J44" s="643"/>
    </row>
    <row r="45" spans="1:10" ht="22.7" customHeight="1" x14ac:dyDescent="0.15">
      <c r="A45" s="639" t="s">
        <v>502</v>
      </c>
      <c r="B45" s="639"/>
      <c r="C45" s="639"/>
      <c r="D45" s="639"/>
      <c r="E45" s="639"/>
      <c r="F45" s="639"/>
      <c r="G45" s="639"/>
      <c r="H45" s="639"/>
      <c r="I45" s="639"/>
      <c r="J45" s="639"/>
    </row>
    <row r="46" spans="1:10" ht="43.5" customHeight="1" x14ac:dyDescent="0.15">
      <c r="A46" s="639" t="s">
        <v>503</v>
      </c>
      <c r="B46" s="639"/>
      <c r="C46" s="639"/>
      <c r="D46" s="639"/>
      <c r="E46" s="639"/>
      <c r="F46" s="639"/>
      <c r="G46" s="639"/>
      <c r="H46" s="639"/>
      <c r="I46" s="639"/>
      <c r="J46" s="639"/>
    </row>
    <row r="47" spans="1:10" ht="22.7" customHeight="1" x14ac:dyDescent="0.15">
      <c r="A47" s="639" t="s">
        <v>504</v>
      </c>
      <c r="B47" s="639"/>
      <c r="C47" s="639"/>
      <c r="D47" s="639"/>
      <c r="E47" s="639"/>
      <c r="F47" s="639"/>
      <c r="G47" s="639"/>
      <c r="H47" s="639"/>
      <c r="I47" s="639"/>
      <c r="J47" s="639"/>
    </row>
    <row r="48" spans="1:10" ht="22.7" customHeight="1" x14ac:dyDescent="0.15">
      <c r="A48" s="639" t="s">
        <v>505</v>
      </c>
      <c r="B48" s="639"/>
      <c r="C48" s="639"/>
      <c r="D48" s="639"/>
      <c r="E48" s="639"/>
      <c r="F48" s="639"/>
      <c r="G48" s="639"/>
      <c r="H48" s="639"/>
      <c r="I48" s="639"/>
      <c r="J48" s="639"/>
    </row>
    <row r="49" spans="1:10" ht="22.7" customHeight="1" x14ac:dyDescent="0.15">
      <c r="A49" s="639" t="s">
        <v>506</v>
      </c>
      <c r="B49" s="639"/>
      <c r="C49" s="639"/>
      <c r="D49" s="639"/>
      <c r="E49" s="639"/>
      <c r="F49" s="639"/>
      <c r="G49" s="639"/>
      <c r="H49" s="639"/>
      <c r="I49" s="639"/>
      <c r="J49" s="639"/>
    </row>
    <row r="50" spans="1:10" ht="27.95" customHeight="1" x14ac:dyDescent="0.15">
      <c r="A50" s="642" t="s">
        <v>464</v>
      </c>
      <c r="B50" s="639"/>
      <c r="C50" s="639"/>
      <c r="D50" s="639"/>
      <c r="E50" s="639"/>
      <c r="F50" s="639"/>
      <c r="G50" s="639"/>
      <c r="H50" s="639"/>
      <c r="I50" s="639"/>
      <c r="J50" s="639"/>
    </row>
    <row r="51" spans="1:10" ht="54.95" customHeight="1" x14ac:dyDescent="0.15">
      <c r="A51" s="639" t="s">
        <v>507</v>
      </c>
      <c r="B51" s="639"/>
      <c r="C51" s="639"/>
      <c r="D51" s="639"/>
      <c r="E51" s="639"/>
      <c r="F51" s="639"/>
      <c r="G51" s="639"/>
      <c r="H51" s="639"/>
      <c r="I51" s="639"/>
      <c r="J51" s="639"/>
    </row>
    <row r="52" spans="1:10" ht="20.25" x14ac:dyDescent="0.25">
      <c r="A52" s="641"/>
      <c r="B52" s="641"/>
      <c r="C52" s="641"/>
      <c r="D52" s="641"/>
      <c r="E52" s="641"/>
      <c r="F52" s="641"/>
      <c r="G52" s="641"/>
      <c r="H52" s="641"/>
      <c r="I52" s="641"/>
      <c r="J52" s="641"/>
    </row>
    <row r="53" spans="1:10" ht="43.5" customHeight="1" x14ac:dyDescent="0.15">
      <c r="A53" s="639"/>
      <c r="B53" s="639"/>
      <c r="C53" s="639"/>
      <c r="D53" s="639"/>
      <c r="E53" s="639"/>
      <c r="F53" s="639"/>
      <c r="G53" s="639"/>
      <c r="H53" s="639"/>
      <c r="I53" s="639"/>
      <c r="J53" s="639"/>
    </row>
    <row r="54" spans="1:10" ht="22.7" customHeight="1" x14ac:dyDescent="0.15">
      <c r="A54" s="639"/>
      <c r="B54" s="639"/>
      <c r="C54" s="639"/>
      <c r="D54" s="639"/>
      <c r="E54" s="639"/>
      <c r="F54" s="639"/>
      <c r="G54" s="639"/>
      <c r="H54" s="639"/>
      <c r="I54" s="639"/>
      <c r="J54" s="639"/>
    </row>
    <row r="55" spans="1:10" ht="22.7" customHeight="1" x14ac:dyDescent="0.15">
      <c r="A55" s="639"/>
      <c r="B55" s="639"/>
      <c r="C55" s="639"/>
      <c r="D55" s="639"/>
      <c r="E55" s="639"/>
      <c r="F55" s="639"/>
      <c r="G55" s="639"/>
      <c r="H55" s="639"/>
      <c r="I55" s="639"/>
      <c r="J55" s="639"/>
    </row>
    <row r="56" spans="1:10" ht="22.7" customHeight="1" x14ac:dyDescent="0.15">
      <c r="A56" s="638" t="s">
        <v>508</v>
      </c>
      <c r="B56" s="638"/>
      <c r="C56" s="638"/>
      <c r="D56" s="638"/>
      <c r="E56" s="638"/>
      <c r="F56" s="638"/>
      <c r="G56" s="638"/>
      <c r="H56" s="638"/>
      <c r="I56" s="638"/>
      <c r="J56" s="638"/>
    </row>
    <row r="57" spans="1:10" ht="22.7" customHeight="1" x14ac:dyDescent="0.15">
      <c r="A57" s="639"/>
      <c r="B57" s="639"/>
      <c r="C57" s="639"/>
      <c r="D57" s="639"/>
      <c r="E57" s="639"/>
      <c r="F57" s="639"/>
      <c r="G57" s="639"/>
      <c r="H57" s="639"/>
      <c r="I57" s="639"/>
      <c r="J57" s="639"/>
    </row>
    <row r="58" spans="1:10" ht="20.25" x14ac:dyDescent="0.25">
      <c r="A58" s="641" t="s">
        <v>509</v>
      </c>
      <c r="B58" s="641"/>
      <c r="C58" s="641"/>
      <c r="D58" s="641"/>
      <c r="E58" s="641"/>
      <c r="F58" s="641"/>
      <c r="G58" s="641"/>
      <c r="H58" s="641"/>
      <c r="I58" s="641"/>
      <c r="J58" s="641"/>
    </row>
    <row r="59" spans="1:10" ht="54.95" customHeight="1" x14ac:dyDescent="0.15">
      <c r="A59" s="639" t="s">
        <v>510</v>
      </c>
      <c r="B59" s="639"/>
      <c r="C59" s="639"/>
      <c r="D59" s="639"/>
      <c r="E59" s="639"/>
      <c r="F59" s="639"/>
      <c r="G59" s="639"/>
      <c r="H59" s="639"/>
      <c r="I59" s="639"/>
      <c r="J59" s="639"/>
    </row>
    <row r="60" spans="1:10" ht="22.7" customHeight="1" x14ac:dyDescent="0.15">
      <c r="A60" s="640" t="s">
        <v>513</v>
      </c>
      <c r="B60" s="640"/>
      <c r="C60" s="640"/>
      <c r="D60" s="640"/>
      <c r="E60" s="640"/>
      <c r="F60" s="640"/>
      <c r="G60" s="640"/>
      <c r="H60" s="640"/>
      <c r="I60" s="640"/>
      <c r="J60" s="640"/>
    </row>
    <row r="61" spans="1:10" ht="22.7" customHeight="1" x14ac:dyDescent="0.15">
      <c r="A61" s="640" t="s">
        <v>538</v>
      </c>
      <c r="B61" s="640"/>
      <c r="C61" s="640"/>
      <c r="D61" s="640"/>
      <c r="E61" s="640"/>
      <c r="F61" s="640"/>
      <c r="G61" s="640"/>
      <c r="H61" s="640"/>
      <c r="I61" s="640"/>
      <c r="J61" s="640"/>
    </row>
    <row r="62" spans="1:10" ht="43.5" customHeight="1" x14ac:dyDescent="0.15">
      <c r="A62" s="640" t="s">
        <v>512</v>
      </c>
      <c r="B62" s="640"/>
      <c r="C62" s="640"/>
      <c r="D62" s="640"/>
      <c r="E62" s="640"/>
      <c r="F62" s="640"/>
      <c r="G62" s="640"/>
      <c r="H62" s="640"/>
      <c r="I62" s="640"/>
      <c r="J62" s="640"/>
    </row>
    <row r="63" spans="1:10" ht="22.7" customHeight="1" x14ac:dyDescent="0.15">
      <c r="A63" s="640" t="s">
        <v>511</v>
      </c>
      <c r="B63" s="640"/>
      <c r="C63" s="640"/>
      <c r="D63" s="640"/>
      <c r="E63" s="640"/>
      <c r="F63" s="640"/>
      <c r="G63" s="640"/>
      <c r="H63" s="640"/>
      <c r="I63" s="640"/>
      <c r="J63" s="640"/>
    </row>
    <row r="64" spans="1:10" ht="22.7" customHeight="1" x14ac:dyDescent="0.15">
      <c r="A64" s="640" t="s">
        <v>514</v>
      </c>
      <c r="B64" s="640"/>
      <c r="C64" s="640"/>
      <c r="D64" s="640"/>
      <c r="E64" s="640"/>
      <c r="F64" s="640"/>
      <c r="G64" s="640"/>
      <c r="H64" s="640"/>
      <c r="I64" s="640"/>
      <c r="J64" s="640"/>
    </row>
    <row r="65" spans="1:10" ht="20.25" x14ac:dyDescent="0.25">
      <c r="A65" s="641" t="s">
        <v>515</v>
      </c>
      <c r="B65" s="641"/>
      <c r="C65" s="641"/>
      <c r="D65" s="641"/>
      <c r="E65" s="641"/>
      <c r="F65" s="641"/>
      <c r="G65" s="641"/>
      <c r="H65" s="641"/>
      <c r="I65" s="641"/>
      <c r="J65" s="641"/>
    </row>
    <row r="66" spans="1:10" ht="54.95" customHeight="1" x14ac:dyDescent="0.15">
      <c r="A66" s="639" t="s">
        <v>516</v>
      </c>
      <c r="B66" s="639"/>
      <c r="C66" s="639"/>
      <c r="D66" s="639"/>
      <c r="E66" s="639"/>
      <c r="F66" s="639"/>
      <c r="G66" s="639"/>
      <c r="H66" s="639"/>
      <c r="I66" s="639"/>
      <c r="J66" s="639"/>
    </row>
    <row r="67" spans="1:10" ht="20.25" x14ac:dyDescent="0.25">
      <c r="A67" s="641" t="s">
        <v>518</v>
      </c>
      <c r="B67" s="641"/>
      <c r="C67" s="641"/>
      <c r="D67" s="641"/>
      <c r="E67" s="641"/>
      <c r="F67" s="641"/>
      <c r="G67" s="641"/>
      <c r="H67" s="641"/>
      <c r="I67" s="641"/>
      <c r="J67" s="641"/>
    </row>
    <row r="68" spans="1:10" ht="84" customHeight="1" x14ac:dyDescent="0.15">
      <c r="A68" s="639" t="s">
        <v>519</v>
      </c>
      <c r="B68" s="639"/>
      <c r="C68" s="639"/>
      <c r="D68" s="639"/>
      <c r="E68" s="639"/>
      <c r="F68" s="639"/>
      <c r="G68" s="639"/>
      <c r="H68" s="639"/>
      <c r="I68" s="639"/>
      <c r="J68" s="639"/>
    </row>
    <row r="69" spans="1:10" ht="20.25" x14ac:dyDescent="0.25">
      <c r="A69" s="641" t="s">
        <v>539</v>
      </c>
      <c r="B69" s="641"/>
      <c r="C69" s="641"/>
      <c r="D69" s="641"/>
      <c r="E69" s="641"/>
      <c r="F69" s="641"/>
      <c r="G69" s="641"/>
      <c r="H69" s="641"/>
      <c r="I69" s="641"/>
      <c r="J69" s="641"/>
    </row>
    <row r="70" spans="1:10" ht="60.75" customHeight="1" x14ac:dyDescent="0.15">
      <c r="A70" s="639" t="s">
        <v>542</v>
      </c>
      <c r="B70" s="639"/>
      <c r="C70" s="639"/>
      <c r="D70" s="639"/>
      <c r="E70" s="639"/>
      <c r="F70" s="639"/>
      <c r="G70" s="639"/>
      <c r="H70" s="639"/>
      <c r="I70" s="639"/>
      <c r="J70" s="639"/>
    </row>
    <row r="71" spans="1:10" ht="99" customHeight="1" x14ac:dyDescent="0.15">
      <c r="A71" s="639" t="s">
        <v>541</v>
      </c>
      <c r="B71" s="639"/>
      <c r="C71" s="639"/>
      <c r="D71" s="639"/>
      <c r="E71" s="639"/>
      <c r="F71" s="639"/>
      <c r="G71" s="639"/>
      <c r="H71" s="639"/>
      <c r="I71" s="639"/>
      <c r="J71" s="639"/>
    </row>
    <row r="72" spans="1:10" ht="17.25" customHeight="1" x14ac:dyDescent="0.15">
      <c r="A72" s="639"/>
      <c r="B72" s="639"/>
      <c r="C72" s="639"/>
      <c r="D72" s="639"/>
      <c r="E72" s="639"/>
      <c r="F72" s="639"/>
      <c r="G72" s="639"/>
      <c r="H72" s="639"/>
      <c r="I72" s="639"/>
      <c r="J72" s="639"/>
    </row>
    <row r="73" spans="1:10" ht="17.25" customHeight="1" x14ac:dyDescent="0.15">
      <c r="A73" s="639"/>
      <c r="B73" s="639"/>
      <c r="C73" s="639"/>
      <c r="D73" s="639"/>
      <c r="E73" s="639"/>
      <c r="F73" s="639"/>
      <c r="G73" s="639"/>
      <c r="H73" s="639"/>
      <c r="I73" s="639"/>
      <c r="J73" s="639"/>
    </row>
    <row r="74" spans="1:10" ht="17.25" customHeight="1" x14ac:dyDescent="0.15">
      <c r="A74" s="639"/>
      <c r="B74" s="639"/>
      <c r="C74" s="639"/>
      <c r="D74" s="639"/>
      <c r="E74" s="639"/>
      <c r="F74" s="639"/>
      <c r="G74" s="639"/>
      <c r="H74" s="639"/>
      <c r="I74" s="639"/>
      <c r="J74" s="639"/>
    </row>
    <row r="75" spans="1:10" ht="17.25" customHeight="1" x14ac:dyDescent="0.15">
      <c r="A75" s="639"/>
      <c r="B75" s="639"/>
      <c r="C75" s="639"/>
      <c r="D75" s="639"/>
      <c r="E75" s="639"/>
      <c r="F75" s="639"/>
      <c r="G75" s="639"/>
      <c r="H75" s="639"/>
      <c r="I75" s="639"/>
      <c r="J75" s="639"/>
    </row>
    <row r="76" spans="1:10" ht="17.25" customHeight="1" x14ac:dyDescent="0.15">
      <c r="A76" s="639"/>
      <c r="B76" s="639"/>
      <c r="C76" s="639"/>
      <c r="D76" s="639"/>
      <c r="E76" s="639"/>
      <c r="F76" s="639"/>
      <c r="G76" s="639"/>
      <c r="H76" s="639"/>
      <c r="I76" s="639"/>
      <c r="J76" s="639"/>
    </row>
    <row r="77" spans="1:10" ht="17.25" customHeight="1" x14ac:dyDescent="0.15">
      <c r="A77" s="639"/>
      <c r="B77" s="639"/>
      <c r="C77" s="639"/>
      <c r="D77" s="639"/>
      <c r="E77" s="639"/>
      <c r="F77" s="639"/>
      <c r="G77" s="639"/>
      <c r="H77" s="639"/>
      <c r="I77" s="639"/>
      <c r="J77" s="639"/>
    </row>
    <row r="78" spans="1:10" ht="17.25" customHeight="1" x14ac:dyDescent="0.15">
      <c r="A78" s="639"/>
      <c r="B78" s="639"/>
      <c r="C78" s="639"/>
      <c r="D78" s="639"/>
      <c r="E78" s="639"/>
      <c r="F78" s="639"/>
      <c r="G78" s="639"/>
      <c r="H78" s="639"/>
      <c r="I78" s="639"/>
      <c r="J78" s="639"/>
    </row>
    <row r="79" spans="1:10" ht="17.25" customHeight="1" x14ac:dyDescent="0.15">
      <c r="A79" s="639"/>
      <c r="B79" s="639"/>
      <c r="C79" s="639"/>
      <c r="D79" s="639"/>
      <c r="E79" s="639"/>
      <c r="F79" s="639"/>
      <c r="G79" s="639"/>
      <c r="H79" s="639"/>
      <c r="I79" s="639"/>
      <c r="J79" s="639"/>
    </row>
    <row r="80" spans="1:10" ht="17.25" customHeight="1" x14ac:dyDescent="0.15">
      <c r="A80" s="639"/>
      <c r="B80" s="639"/>
      <c r="C80" s="639"/>
      <c r="D80" s="639"/>
      <c r="E80" s="639"/>
      <c r="F80" s="639"/>
      <c r="G80" s="639"/>
      <c r="H80" s="639"/>
      <c r="I80" s="639"/>
      <c r="J80" s="639"/>
    </row>
    <row r="81" spans="1:10" ht="17.25" customHeight="1" x14ac:dyDescent="0.15">
      <c r="A81" s="638" t="s">
        <v>517</v>
      </c>
      <c r="B81" s="638"/>
      <c r="C81" s="638"/>
      <c r="D81" s="638"/>
      <c r="E81" s="638"/>
      <c r="F81" s="638"/>
      <c r="G81" s="638"/>
      <c r="H81" s="638"/>
      <c r="I81" s="638"/>
      <c r="J81" s="638"/>
    </row>
  </sheetData>
  <sheetProtection algorithmName="SHA-512" hashValue="Xq77HYy26ZS7b53MRzG0q/UmwIwpDN8C5WgoNZ1w9Ka0IIH5ITARkGCwqd3C/fNn9142aRfOCEvP+NWf83fPaw==" saltValue="isU5SO9SI1BzXmDE9ws5HQ==" spinCount="100000" sheet="1" objects="1" scenarios="1"/>
  <mergeCells count="80">
    <mergeCell ref="A7:J7"/>
    <mergeCell ref="A2:J2"/>
    <mergeCell ref="A3:J3"/>
    <mergeCell ref="A4:J4"/>
    <mergeCell ref="A5:J5"/>
    <mergeCell ref="A6:J6"/>
    <mergeCell ref="A19:J19"/>
    <mergeCell ref="A8:J8"/>
    <mergeCell ref="A9:J9"/>
    <mergeCell ref="A10:J10"/>
    <mergeCell ref="A11:J11"/>
    <mergeCell ref="A12:J12"/>
    <mergeCell ref="A13:J13"/>
    <mergeCell ref="A14:J14"/>
    <mergeCell ref="A15:J15"/>
    <mergeCell ref="A16:J16"/>
    <mergeCell ref="A17:J17"/>
    <mergeCell ref="A18:J18"/>
    <mergeCell ref="A31:J31"/>
    <mergeCell ref="A20:J20"/>
    <mergeCell ref="A21:J21"/>
    <mergeCell ref="A22:J22"/>
    <mergeCell ref="A23:J23"/>
    <mergeCell ref="A24:J24"/>
    <mergeCell ref="A25:J25"/>
    <mergeCell ref="A26:J26"/>
    <mergeCell ref="A27:J27"/>
    <mergeCell ref="A28:J28"/>
    <mergeCell ref="A29:J29"/>
    <mergeCell ref="A30:J30"/>
    <mergeCell ref="A41:J41"/>
    <mergeCell ref="A32:J32"/>
    <mergeCell ref="A33:J33"/>
    <mergeCell ref="A34:J34"/>
    <mergeCell ref="A35:J35"/>
    <mergeCell ref="A36:J36"/>
    <mergeCell ref="A37:J37"/>
    <mergeCell ref="A38:J38"/>
    <mergeCell ref="A39:J39"/>
    <mergeCell ref="A40:J40"/>
    <mergeCell ref="A45:J45"/>
    <mergeCell ref="A46:J46"/>
    <mergeCell ref="A42:J42"/>
    <mergeCell ref="A43:J43"/>
    <mergeCell ref="A44:J44"/>
    <mergeCell ref="A57:J57"/>
    <mergeCell ref="A47:J47"/>
    <mergeCell ref="A48:J48"/>
    <mergeCell ref="A49:J49"/>
    <mergeCell ref="A50:J50"/>
    <mergeCell ref="A51:J51"/>
    <mergeCell ref="A52:J52"/>
    <mergeCell ref="A53:J53"/>
    <mergeCell ref="A54:J54"/>
    <mergeCell ref="A55:J55"/>
    <mergeCell ref="A56:J56"/>
    <mergeCell ref="A58:J58"/>
    <mergeCell ref="A59:J59"/>
    <mergeCell ref="A60:J60"/>
    <mergeCell ref="A61:J61"/>
    <mergeCell ref="A62:J62"/>
    <mergeCell ref="A74:J74"/>
    <mergeCell ref="A63:J63"/>
    <mergeCell ref="A64:J64"/>
    <mergeCell ref="A65:J65"/>
    <mergeCell ref="A66:J66"/>
    <mergeCell ref="A67:J67"/>
    <mergeCell ref="A68:J68"/>
    <mergeCell ref="A69:J69"/>
    <mergeCell ref="A70:J70"/>
    <mergeCell ref="A71:J71"/>
    <mergeCell ref="A72:J72"/>
    <mergeCell ref="A73:J73"/>
    <mergeCell ref="A81:J81"/>
    <mergeCell ref="A75:J75"/>
    <mergeCell ref="A76:J76"/>
    <mergeCell ref="A77:J77"/>
    <mergeCell ref="A78:J78"/>
    <mergeCell ref="A79:J79"/>
    <mergeCell ref="A80:J80"/>
  </mergeCells>
  <printOptions horizontalCentered="1" verticalCentered="1"/>
  <pageMargins left="0" right="0" top="0" bottom="0" header="0" footer="0"/>
  <pageSetup paperSize="9" scale="98" orientation="portrait" r:id="rId1"/>
  <rowBreaks count="2" manualBreakCount="2">
    <brk id="28" max="9" man="1"/>
    <brk id="56"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6"/>
  <sheetViews>
    <sheetView rightToLeft="1" topLeftCell="B1" workbookViewId="0">
      <selection sqref="A1:J2"/>
    </sheetView>
  </sheetViews>
  <sheetFormatPr defaultRowHeight="26.25" customHeight="1" x14ac:dyDescent="0.15"/>
  <sheetData>
    <row r="1" spans="1:10" ht="26.25" customHeight="1" x14ac:dyDescent="0.15">
      <c r="A1" s="650" t="s">
        <v>468</v>
      </c>
      <c r="B1" s="650"/>
      <c r="C1" s="650"/>
      <c r="D1" s="650"/>
      <c r="E1" s="650"/>
      <c r="F1" s="650"/>
      <c r="G1" s="650"/>
      <c r="H1" s="650"/>
      <c r="I1" s="650"/>
      <c r="J1" s="650"/>
    </row>
    <row r="2" spans="1:10" ht="26.25" customHeight="1" x14ac:dyDescent="0.15">
      <c r="A2" s="650"/>
      <c r="B2" s="650"/>
      <c r="C2" s="650"/>
      <c r="D2" s="650"/>
      <c r="E2" s="650"/>
      <c r="F2" s="650"/>
      <c r="G2" s="650"/>
      <c r="H2" s="650"/>
      <c r="I2" s="650"/>
      <c r="J2" s="650"/>
    </row>
    <row r="3" spans="1:10" ht="26.25" customHeight="1" x14ac:dyDescent="0.15">
      <c r="A3" s="651"/>
      <c r="B3" s="651"/>
      <c r="C3" s="651"/>
      <c r="D3" s="651"/>
      <c r="E3" s="651"/>
      <c r="F3" s="651"/>
      <c r="G3" s="651"/>
      <c r="H3" s="651"/>
      <c r="I3" s="651"/>
      <c r="J3" s="651"/>
    </row>
    <row r="4" spans="1:10" ht="26.25" customHeight="1" x14ac:dyDescent="0.15">
      <c r="A4" s="651"/>
      <c r="B4" s="651"/>
      <c r="C4" s="651"/>
      <c r="D4" s="651"/>
      <c r="E4" s="651"/>
      <c r="F4" s="651"/>
      <c r="G4" s="651"/>
      <c r="H4" s="651"/>
      <c r="I4" s="651"/>
      <c r="J4" s="651"/>
    </row>
    <row r="5" spans="1:10" ht="26.25" customHeight="1" x14ac:dyDescent="0.15">
      <c r="A5" s="651"/>
      <c r="B5" s="651"/>
      <c r="C5" s="651"/>
      <c r="D5" s="651"/>
      <c r="E5" s="651"/>
      <c r="F5" s="651"/>
      <c r="G5" s="651"/>
      <c r="H5" s="651"/>
      <c r="I5" s="651"/>
      <c r="J5" s="651"/>
    </row>
    <row r="6" spans="1:10" ht="26.25" customHeight="1" x14ac:dyDescent="0.15">
      <c r="A6" s="651"/>
      <c r="B6" s="651"/>
      <c r="C6" s="651"/>
      <c r="D6" s="651"/>
      <c r="E6" s="651"/>
      <c r="F6" s="651"/>
      <c r="G6" s="651"/>
      <c r="H6" s="651"/>
      <c r="I6" s="651"/>
      <c r="J6" s="651"/>
    </row>
    <row r="7" spans="1:10" ht="26.25" customHeight="1" x14ac:dyDescent="0.15">
      <c r="A7" s="651"/>
      <c r="B7" s="651"/>
      <c r="C7" s="651"/>
      <c r="D7" s="651"/>
      <c r="E7" s="651"/>
      <c r="F7" s="651"/>
      <c r="G7" s="651"/>
      <c r="H7" s="651"/>
      <c r="I7" s="651"/>
      <c r="J7" s="651"/>
    </row>
    <row r="8" spans="1:10" ht="26.25" customHeight="1" x14ac:dyDescent="0.15">
      <c r="A8" s="651"/>
      <c r="B8" s="651"/>
      <c r="C8" s="651"/>
      <c r="D8" s="651"/>
      <c r="E8" s="651"/>
      <c r="F8" s="651"/>
      <c r="G8" s="651"/>
      <c r="H8" s="651"/>
      <c r="I8" s="651"/>
      <c r="J8" s="651"/>
    </row>
    <row r="9" spans="1:10" ht="26.25" customHeight="1" x14ac:dyDescent="0.15">
      <c r="A9" s="651"/>
      <c r="B9" s="651"/>
      <c r="C9" s="651"/>
      <c r="D9" s="651"/>
      <c r="E9" s="651"/>
      <c r="F9" s="651"/>
      <c r="G9" s="651"/>
      <c r="H9" s="651"/>
      <c r="I9" s="651"/>
      <c r="J9" s="651"/>
    </row>
    <row r="10" spans="1:10" ht="26.25" customHeight="1" x14ac:dyDescent="0.15">
      <c r="A10" s="651"/>
      <c r="B10" s="651"/>
      <c r="C10" s="651"/>
      <c r="D10" s="651"/>
      <c r="E10" s="651"/>
      <c r="F10" s="651"/>
      <c r="G10" s="651"/>
      <c r="H10" s="651"/>
      <c r="I10" s="651"/>
      <c r="J10" s="651"/>
    </row>
    <row r="11" spans="1:10" ht="26.25" customHeight="1" x14ac:dyDescent="0.15">
      <c r="A11" s="651"/>
      <c r="B11" s="651"/>
      <c r="C11" s="651"/>
      <c r="D11" s="651"/>
      <c r="E11" s="651"/>
      <c r="F11" s="651"/>
      <c r="G11" s="651"/>
      <c r="H11" s="651"/>
      <c r="I11" s="651"/>
      <c r="J11" s="651"/>
    </row>
    <row r="12" spans="1:10" ht="26.25" customHeight="1" x14ac:dyDescent="0.15">
      <c r="A12" s="651"/>
      <c r="B12" s="651"/>
      <c r="C12" s="651"/>
      <c r="D12" s="651"/>
      <c r="E12" s="651"/>
      <c r="F12" s="651"/>
      <c r="G12" s="651"/>
      <c r="H12" s="651"/>
      <c r="I12" s="651"/>
      <c r="J12" s="651"/>
    </row>
    <row r="13" spans="1:10" ht="26.25" customHeight="1" x14ac:dyDescent="0.15">
      <c r="A13" s="651"/>
      <c r="B13" s="651"/>
      <c r="C13" s="651"/>
      <c r="D13" s="651"/>
      <c r="E13" s="651"/>
      <c r="F13" s="651"/>
      <c r="G13" s="651"/>
      <c r="H13" s="651"/>
      <c r="I13" s="651"/>
      <c r="J13" s="651"/>
    </row>
    <row r="14" spans="1:10" ht="26.25" customHeight="1" x14ac:dyDescent="0.15">
      <c r="A14" s="651"/>
      <c r="B14" s="651"/>
      <c r="C14" s="651"/>
      <c r="D14" s="651"/>
      <c r="E14" s="651"/>
      <c r="F14" s="651"/>
      <c r="G14" s="651"/>
      <c r="H14" s="651"/>
      <c r="I14" s="651"/>
      <c r="J14" s="651"/>
    </row>
    <row r="15" spans="1:10" ht="26.25" customHeight="1" x14ac:dyDescent="0.15">
      <c r="A15" s="651"/>
      <c r="B15" s="651"/>
      <c r="C15" s="651"/>
      <c r="D15" s="651"/>
      <c r="E15" s="651"/>
      <c r="F15" s="651"/>
      <c r="G15" s="651"/>
      <c r="H15" s="651"/>
      <c r="I15" s="651"/>
      <c r="J15" s="651"/>
    </row>
    <row r="16" spans="1:10" ht="26.25" customHeight="1" x14ac:dyDescent="0.15">
      <c r="A16" s="651"/>
      <c r="B16" s="651"/>
      <c r="C16" s="651"/>
      <c r="D16" s="651"/>
      <c r="E16" s="651"/>
      <c r="F16" s="651"/>
      <c r="G16" s="651"/>
      <c r="H16" s="651"/>
      <c r="I16" s="651"/>
      <c r="J16" s="651"/>
    </row>
    <row r="17" spans="1:10" ht="26.25" customHeight="1" x14ac:dyDescent="0.15">
      <c r="A17" s="651"/>
      <c r="B17" s="651"/>
      <c r="C17" s="651"/>
      <c r="D17" s="651"/>
      <c r="E17" s="651"/>
      <c r="F17" s="651"/>
      <c r="G17" s="651"/>
      <c r="H17" s="651"/>
      <c r="I17" s="651"/>
      <c r="J17" s="651"/>
    </row>
    <row r="18" spans="1:10" ht="26.25" customHeight="1" x14ac:dyDescent="0.15">
      <c r="A18" s="651"/>
      <c r="B18" s="651"/>
      <c r="C18" s="651"/>
      <c r="D18" s="651"/>
      <c r="E18" s="651"/>
      <c r="F18" s="651"/>
      <c r="G18" s="651"/>
      <c r="H18" s="651"/>
      <c r="I18" s="651"/>
      <c r="J18" s="651"/>
    </row>
    <row r="19" spans="1:10" ht="26.25" customHeight="1" x14ac:dyDescent="0.15">
      <c r="A19" s="651"/>
      <c r="B19" s="651"/>
      <c r="C19" s="651"/>
      <c r="D19" s="651"/>
      <c r="E19" s="651"/>
      <c r="F19" s="651"/>
      <c r="G19" s="651"/>
      <c r="H19" s="651"/>
      <c r="I19" s="651"/>
      <c r="J19" s="651"/>
    </row>
    <row r="20" spans="1:10" ht="26.25" customHeight="1" x14ac:dyDescent="0.15">
      <c r="A20" s="651"/>
      <c r="B20" s="651"/>
      <c r="C20" s="651"/>
      <c r="D20" s="651"/>
      <c r="E20" s="651"/>
      <c r="F20" s="651"/>
      <c r="G20" s="651"/>
      <c r="H20" s="651"/>
      <c r="I20" s="651"/>
      <c r="J20" s="651"/>
    </row>
    <row r="21" spans="1:10" ht="26.25" customHeight="1" x14ac:dyDescent="0.15">
      <c r="A21" s="651"/>
      <c r="B21" s="651"/>
      <c r="C21" s="651"/>
      <c r="D21" s="651"/>
      <c r="E21" s="651"/>
      <c r="F21" s="651"/>
      <c r="G21" s="651"/>
      <c r="H21" s="651"/>
      <c r="I21" s="651"/>
      <c r="J21" s="651"/>
    </row>
    <row r="22" spans="1:10" ht="26.25" customHeight="1" x14ac:dyDescent="0.15">
      <c r="A22" s="651"/>
      <c r="B22" s="651"/>
      <c r="C22" s="651"/>
      <c r="D22" s="651"/>
      <c r="E22" s="651"/>
      <c r="F22" s="651"/>
      <c r="G22" s="651"/>
      <c r="H22" s="651"/>
      <c r="I22" s="651"/>
      <c r="J22" s="651"/>
    </row>
    <row r="23" spans="1:10" ht="26.25" customHeight="1" x14ac:dyDescent="0.15">
      <c r="A23" s="651"/>
      <c r="B23" s="651"/>
      <c r="C23" s="651"/>
      <c r="D23" s="651"/>
      <c r="E23" s="651"/>
      <c r="F23" s="651"/>
      <c r="G23" s="651"/>
      <c r="H23" s="651"/>
      <c r="I23" s="651"/>
      <c r="J23" s="651"/>
    </row>
    <row r="24" spans="1:10" ht="26.25" customHeight="1" x14ac:dyDescent="0.15">
      <c r="A24" s="651"/>
      <c r="B24" s="651"/>
      <c r="C24" s="651"/>
      <c r="D24" s="651"/>
      <c r="E24" s="651"/>
      <c r="F24" s="651"/>
      <c r="G24" s="651"/>
      <c r="H24" s="651"/>
      <c r="I24" s="651"/>
      <c r="J24" s="651"/>
    </row>
    <row r="25" spans="1:10" ht="26.25" customHeight="1" x14ac:dyDescent="0.15">
      <c r="A25" s="651"/>
      <c r="B25" s="651"/>
      <c r="C25" s="651"/>
      <c r="D25" s="651"/>
      <c r="E25" s="651"/>
      <c r="F25" s="651"/>
      <c r="G25" s="651"/>
      <c r="H25" s="651"/>
      <c r="I25" s="651"/>
      <c r="J25" s="651"/>
    </row>
    <row r="26" spans="1:10" ht="26.25" customHeight="1" x14ac:dyDescent="0.15">
      <c r="A26" s="649" t="s">
        <v>469</v>
      </c>
      <c r="B26" s="649"/>
      <c r="C26" s="649"/>
      <c r="D26" s="649"/>
      <c r="E26" s="649"/>
      <c r="F26" s="649"/>
      <c r="G26" s="649"/>
      <c r="H26" s="649"/>
      <c r="I26" s="649"/>
      <c r="J26" s="649"/>
    </row>
  </sheetData>
  <sheetProtection algorithmName="SHA-512" hashValue="sUQbaffuSpDQZPV9NPCagHRcxbZ4s80kbgRFA+x/iDTNYpu10bZLE86Ddx3imuZxs1i+VvBXxcfd29V1zzL0UQ==" saltValue="AZH8rQOy0YsSlf5/IiGDXw==" spinCount="100000" sheet="1" objects="1" scenarios="1" formatCells="0" formatColumns="0" formatRows="0"/>
  <mergeCells count="25">
    <mergeCell ref="A10:J10"/>
    <mergeCell ref="A11:J11"/>
    <mergeCell ref="A12:J12"/>
    <mergeCell ref="A25:J25"/>
    <mergeCell ref="A3:J3"/>
    <mergeCell ref="A4:J4"/>
    <mergeCell ref="A5:J5"/>
    <mergeCell ref="A6:J6"/>
    <mergeCell ref="A8:J8"/>
    <mergeCell ref="A26:J26"/>
    <mergeCell ref="A1:J2"/>
    <mergeCell ref="A19:J19"/>
    <mergeCell ref="A20:J20"/>
    <mergeCell ref="A21:J21"/>
    <mergeCell ref="A22:J22"/>
    <mergeCell ref="A23:J23"/>
    <mergeCell ref="A24:J24"/>
    <mergeCell ref="A13:J13"/>
    <mergeCell ref="A14:J14"/>
    <mergeCell ref="A15:J15"/>
    <mergeCell ref="A16:J16"/>
    <mergeCell ref="A17:J17"/>
    <mergeCell ref="A18:J18"/>
    <mergeCell ref="A7:J7"/>
    <mergeCell ref="A9:J9"/>
  </mergeCells>
  <printOptions horizontalCentered="1" verticalCentered="1"/>
  <pageMargins left="0" right="0" top="0" bottom="0"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1</DocSecurity>
  <ScaleCrop>false</ScaleCrop>
  <HeadingPairs>
    <vt:vector size="4" baseType="variant">
      <vt:variant>
        <vt:lpstr>أوراق العمل</vt:lpstr>
      </vt:variant>
      <vt:variant>
        <vt:i4>10</vt:i4>
      </vt:variant>
      <vt:variant>
        <vt:lpstr>النطاقات المسماة</vt:lpstr>
      </vt:variant>
      <vt:variant>
        <vt:i4>1</vt:i4>
      </vt:variant>
    </vt:vector>
  </HeadingPairs>
  <TitlesOfParts>
    <vt:vector size="11" baseType="lpstr">
      <vt:lpstr>معدلات الحسم الديناميكي</vt:lpstr>
      <vt:lpstr>حساب الضريبة</vt:lpstr>
      <vt:lpstr>قائمة التعديل الضريبي</vt:lpstr>
      <vt:lpstr>الصفحة الأولى</vt:lpstr>
      <vt:lpstr>قائمة المركز المالي</vt:lpstr>
      <vt:lpstr>قائمة التشغيل</vt:lpstr>
      <vt:lpstr>قائمة الدخل</vt:lpstr>
      <vt:lpstr>جدول استهلاك الموجودات الثابتة</vt:lpstr>
      <vt:lpstr>ملاحظات لملء البيان الضريبي</vt:lpstr>
      <vt:lpstr>مخصص لاستخدام الإدارة الضريبية</vt:lpstr>
      <vt:lpstr>قائمة التعديل الضريبي!Print_Area</vt:lpstr>
    </vt:vector>
  </TitlesOfParts>
  <Company>Updatesofts Forums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ِAsfar0003</dc:creator>
  <cp:keywords>ESH</cp:keywords>
  <cp:lastModifiedBy>PC</cp:lastModifiedBy>
  <cp:lastPrinted>2024-05-28T15:21:07Z</cp:lastPrinted>
  <dcterms:created xsi:type="dcterms:W3CDTF">2011-12-19T08:14:36Z</dcterms:created>
  <dcterms:modified xsi:type="dcterms:W3CDTF">2026-04-12T17:35:22Z</dcterms:modified>
</cp:coreProperties>
</file>